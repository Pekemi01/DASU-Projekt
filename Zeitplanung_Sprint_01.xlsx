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HU\SOSE_2026\Projekt\"/>
    </mc:Choice>
  </mc:AlternateContent>
  <xr:revisionPtr revIDLastSave="0" documentId="13_ncr:1_{3BF4BC6C-B2FE-46BC-824E-3D9AE4F94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lIst Zeiterfassung" sheetId="1" r:id="rId1"/>
    <sheet name="wöchentliche Zeitplanung" sheetId="2" r:id="rId2"/>
    <sheet name="Burndown 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1" l="1"/>
  <c r="D33" i="1"/>
  <c r="G63" i="1"/>
  <c r="G33" i="1"/>
  <c r="G62" i="1"/>
  <c r="E62" i="1"/>
  <c r="E63" i="1" s="1"/>
  <c r="F62" i="1"/>
  <c r="F63" i="1" s="1"/>
  <c r="F33" i="1"/>
  <c r="F34" i="1" s="1"/>
  <c r="E33" i="1"/>
  <c r="E34" i="1" s="1"/>
  <c r="D9" i="1"/>
  <c r="E9" i="1"/>
  <c r="F9" i="1"/>
  <c r="G9" i="1"/>
  <c r="E4" i="2"/>
  <c r="A8" i="2" s="1"/>
  <c r="I31" i="2"/>
  <c r="H31" i="2"/>
  <c r="G31" i="2"/>
  <c r="F31" i="2"/>
  <c r="E31" i="2"/>
  <c r="D31" i="2"/>
  <c r="C31" i="2"/>
  <c r="J30" i="2"/>
  <c r="B30" i="2"/>
  <c r="J29" i="2"/>
  <c r="J31" i="2" s="1"/>
  <c r="B29" i="2"/>
  <c r="J28" i="2"/>
  <c r="B28" i="2"/>
  <c r="J27" i="2"/>
  <c r="B27" i="2"/>
  <c r="I25" i="2"/>
  <c r="H25" i="2"/>
  <c r="G25" i="2"/>
  <c r="F25" i="2"/>
  <c r="E25" i="2"/>
  <c r="D25" i="2"/>
  <c r="C25" i="2"/>
  <c r="J24" i="2"/>
  <c r="J25" i="2" s="1"/>
  <c r="B24" i="2"/>
  <c r="J23" i="2"/>
  <c r="B23" i="2"/>
  <c r="J22" i="2"/>
  <c r="B22" i="2"/>
  <c r="J21" i="2"/>
  <c r="B21" i="2"/>
  <c r="I19" i="2"/>
  <c r="H19" i="2"/>
  <c r="G19" i="2"/>
  <c r="F19" i="2"/>
  <c r="E19" i="2"/>
  <c r="D19" i="2"/>
  <c r="C19" i="2"/>
  <c r="J18" i="2"/>
  <c r="J19" i="2" s="1"/>
  <c r="B18" i="2"/>
  <c r="J17" i="2"/>
  <c r="B17" i="2"/>
  <c r="J16" i="2"/>
  <c r="B16" i="2"/>
  <c r="J15" i="2"/>
  <c r="B15" i="2"/>
  <c r="I13" i="2"/>
  <c r="H13" i="2"/>
  <c r="G13" i="2"/>
  <c r="F13" i="2"/>
  <c r="E13" i="2"/>
  <c r="D13" i="2"/>
  <c r="C13" i="2"/>
  <c r="J12" i="2"/>
  <c r="J13" i="2" s="1"/>
  <c r="B12" i="2"/>
  <c r="J11" i="2"/>
  <c r="B11" i="2"/>
  <c r="N10" i="2"/>
  <c r="N11" i="2" s="1"/>
  <c r="M10" i="2"/>
  <c r="M11" i="2" s="1"/>
  <c r="L10" i="2"/>
  <c r="L11" i="2" s="1"/>
  <c r="K10" i="2"/>
  <c r="K11" i="2" s="1"/>
  <c r="J10" i="2"/>
  <c r="B10" i="2"/>
  <c r="J9" i="2"/>
  <c r="B9" i="2"/>
  <c r="E5" i="2"/>
  <c r="G4" i="2"/>
  <c r="C2" i="3" s="1"/>
  <c r="G3" i="2"/>
  <c r="G38" i="1"/>
  <c r="F38" i="1"/>
  <c r="E38" i="1"/>
  <c r="D38" i="1"/>
  <c r="I3" i="1"/>
  <c r="H62" i="1" l="1"/>
  <c r="H63" i="1" s="1"/>
  <c r="H33" i="1"/>
  <c r="H34" i="1" s="1"/>
  <c r="D63" i="1"/>
  <c r="A26" i="2"/>
  <c r="C26" i="2" s="1"/>
  <c r="D26" i="2" s="1"/>
  <c r="E26" i="2" s="1"/>
  <c r="F26" i="2" s="1"/>
  <c r="G26" i="2" s="1"/>
  <c r="H26" i="2" s="1"/>
  <c r="I26" i="2" s="1"/>
  <c r="D34" i="1"/>
  <c r="C8" i="2"/>
  <c r="D8" i="2" s="1"/>
  <c r="E8" i="2" s="1"/>
  <c r="F8" i="2" s="1"/>
  <c r="G8" i="2" s="1"/>
  <c r="H8" i="2" s="1"/>
  <c r="I8" i="2" s="1"/>
  <c r="C3" i="3"/>
  <c r="D5" i="3"/>
  <c r="A14" i="2"/>
  <c r="C14" i="2" s="1"/>
  <c r="D14" i="2" s="1"/>
  <c r="E14" i="2" s="1"/>
  <c r="F14" i="2" s="1"/>
  <c r="G14" i="2" s="1"/>
  <c r="H14" i="2" s="1"/>
  <c r="I14" i="2" s="1"/>
  <c r="A20" i="2"/>
  <c r="C20" i="2" s="1"/>
  <c r="D20" i="2" s="1"/>
  <c r="E20" i="2" s="1"/>
  <c r="F20" i="2" s="1"/>
  <c r="G20" i="2" s="1"/>
  <c r="H20" i="2" s="1"/>
  <c r="I20" i="2" s="1"/>
  <c r="E5" i="3" l="1"/>
  <c r="C7" i="3"/>
  <c r="D7" i="3" s="1"/>
  <c r="C4" i="3"/>
  <c r="C8" i="3" s="1"/>
  <c r="D8" i="3" s="1"/>
  <c r="E8" i="3" l="1"/>
  <c r="F5" i="3"/>
  <c r="E7" i="3"/>
  <c r="F8" i="3" l="1"/>
  <c r="G5" i="3"/>
  <c r="F7" i="3"/>
  <c r="G8" i="3" l="1"/>
  <c r="H5" i="3"/>
  <c r="G7" i="3"/>
  <c r="I5" i="3" l="1"/>
  <c r="H7" i="3"/>
  <c r="H8" i="3"/>
  <c r="I7" i="3" l="1"/>
  <c r="I8" i="3"/>
  <c r="J5" i="3"/>
  <c r="J7" i="3" l="1"/>
  <c r="J8" i="3"/>
  <c r="K5" i="3"/>
  <c r="K7" i="3" l="1"/>
  <c r="K8" i="3"/>
  <c r="L5" i="3"/>
  <c r="L7" i="3" l="1"/>
  <c r="L8" i="3"/>
  <c r="M5" i="3"/>
  <c r="M8" i="3" l="1"/>
  <c r="N5" i="3"/>
  <c r="M7" i="3"/>
  <c r="N8" i="3" l="1"/>
  <c r="O5" i="3"/>
  <c r="N7" i="3"/>
  <c r="O8" i="3" l="1"/>
  <c r="P5" i="3"/>
  <c r="O7" i="3"/>
  <c r="Q5" i="3" l="1"/>
  <c r="P7" i="3"/>
  <c r="P8" i="3"/>
  <c r="Q7" i="3" l="1"/>
  <c r="Q8" i="3"/>
  <c r="R5" i="3"/>
  <c r="R7" i="3" l="1"/>
  <c r="R8" i="3"/>
  <c r="S5" i="3"/>
  <c r="S7" i="3" l="1"/>
  <c r="S8" i="3"/>
  <c r="T5" i="3"/>
  <c r="T7" i="3" l="1"/>
  <c r="T8" i="3"/>
  <c r="U5" i="3"/>
  <c r="U8" i="3" l="1"/>
  <c r="V5" i="3"/>
  <c r="U7" i="3"/>
  <c r="V8" i="3" l="1"/>
  <c r="W5" i="3"/>
  <c r="V7" i="3"/>
  <c r="W8" i="3" l="1"/>
  <c r="X5" i="3"/>
  <c r="W7" i="3"/>
  <c r="Y5" i="3" l="1"/>
  <c r="X8" i="3"/>
  <c r="X7" i="3"/>
  <c r="Y7" i="3" l="1"/>
  <c r="Y8" i="3"/>
  <c r="Z5" i="3"/>
  <c r="Z7" i="3" l="1"/>
  <c r="Z8" i="3"/>
  <c r="AA5" i="3"/>
  <c r="AA7" i="3" l="1"/>
  <c r="AA8" i="3"/>
  <c r="AB5" i="3"/>
  <c r="AB7" i="3" l="1"/>
  <c r="AB8" i="3"/>
  <c r="AC5" i="3"/>
  <c r="AC8" i="3" l="1"/>
  <c r="AD5" i="3"/>
  <c r="AC7" i="3"/>
  <c r="AD8" i="3" l="1"/>
  <c r="AE5" i="3"/>
  <c r="AD7" i="3"/>
  <c r="AE8" i="3" l="1"/>
  <c r="AE7" i="3"/>
</calcChain>
</file>

<file path=xl/sharedStrings.xml><?xml version="1.0" encoding="utf-8"?>
<sst xmlns="http://schemas.openxmlformats.org/spreadsheetml/2006/main" count="174" uniqueCount="114">
  <si>
    <t>Erklärung zum Tool:</t>
  </si>
  <si>
    <t>Teammitglieder</t>
  </si>
  <si>
    <t>Namen bitte eintragen</t>
  </si>
  <si>
    <t>Anzahl der Teammitglieder</t>
  </si>
  <si>
    <t>Legende</t>
  </si>
  <si>
    <r>
      <rPr>
        <sz val="10"/>
        <color theme="1"/>
        <rFont val="Arial"/>
        <family val="2"/>
      </rPr>
      <t xml:space="preserve">Zunächst </t>
    </r>
    <r>
      <rPr>
        <b/>
        <sz val="10"/>
        <color theme="1"/>
        <rFont val="Arial"/>
        <family val="2"/>
      </rPr>
      <t>Namen der Teammitglieder</t>
    </r>
    <r>
      <rPr>
        <sz val="10"/>
        <color theme="1"/>
        <rFont val="Arial"/>
        <family val="2"/>
      </rPr>
      <t xml:space="preserve"> eintragen, sowie </t>
    </r>
    <r>
      <rPr>
        <b/>
        <sz val="10"/>
        <color theme="1"/>
        <rFont val="Arial"/>
        <family val="2"/>
      </rPr>
      <t xml:space="preserve">Anzahl </t>
    </r>
    <r>
      <rPr>
        <sz val="10"/>
        <color theme="1"/>
        <rFont val="Arial"/>
        <family val="2"/>
      </rPr>
      <t xml:space="preserve">und </t>
    </r>
    <r>
      <rPr>
        <b/>
        <sz val="10"/>
        <color theme="1"/>
        <rFont val="Arial"/>
        <family val="2"/>
      </rPr>
      <t>Arbeitsstunden für den Sprint</t>
    </r>
  </si>
  <si>
    <t>Stunden pro Person pro Sprint</t>
  </si>
  <si>
    <t>Haupttask</t>
  </si>
  <si>
    <t>Das Tool füllt dann selbst die entsprechenden Zellen. Werden keine Namen eingetragen, bleibt die entsprechende</t>
  </si>
  <si>
    <t>Gesamtzeit für Team</t>
  </si>
  <si>
    <t>Subtask</t>
  </si>
  <si>
    <t>Spalte leer.</t>
  </si>
  <si>
    <r>
      <rPr>
        <sz val="10"/>
        <color theme="1"/>
        <rFont val="Arial"/>
        <family val="2"/>
      </rPr>
      <t xml:space="preserve">Formeln für Summen in </t>
    </r>
    <r>
      <rPr>
        <b/>
        <sz val="10"/>
        <color theme="1"/>
        <rFont val="Arial"/>
        <family val="2"/>
      </rPr>
      <t xml:space="preserve">Gesamtzeit für Sprint / Puffer / Restzeit </t>
    </r>
    <r>
      <rPr>
        <sz val="10"/>
        <color theme="1"/>
        <rFont val="Arial"/>
        <family val="2"/>
      </rPr>
      <t>müssen manuell erweitert werden</t>
    </r>
  </si>
  <si>
    <t>ID</t>
  </si>
  <si>
    <t>Task</t>
  </si>
  <si>
    <t>Beschreibung</t>
  </si>
  <si>
    <t>Gesamtzeit</t>
  </si>
  <si>
    <t>Gesamtzeit für Sprint</t>
  </si>
  <si>
    <t>Summe aus D10:D22 (Erweitern bei mehr Tasks)</t>
  </si>
  <si>
    <t>Puffer</t>
  </si>
  <si>
    <t>30 Arbeitsstunden - individuelle Arbeitszeit; Berechnung wird erst angezeigt, wenn Namen angegeben wurden</t>
  </si>
  <si>
    <t>Summe aus D29:D41 (Erweitern bei mehr Tasks)</t>
  </si>
  <si>
    <t>Restzeit</t>
  </si>
  <si>
    <t>30 Arbeitsstunden - individuelle Arbeitszeit</t>
  </si>
  <si>
    <t>Erklärung: Zunächst Sprintstart und Sprintende angeben; Danach müssen nur die einzelnen Zellen durch die Teammitglieder mit ihren indivuduellen Arbeitszeiten befüllt werden</t>
  </si>
  <si>
    <t>Kommentar: Bei Verwendung des Tools in Sheets muss in E4 die Formel angepasst werden. In Excel sollte man die ISOKALENDERWOCHE()-Funktion nutzen; in Google Sheets dagegen ISOWEEKNUM()</t>
  </si>
  <si>
    <t>Zeitplanung</t>
  </si>
  <si>
    <t>Sprintstart</t>
  </si>
  <si>
    <t>Sprintende</t>
  </si>
  <si>
    <t># Wochen</t>
  </si>
  <si>
    <t>Kalenderwoche</t>
  </si>
  <si>
    <t># Tage</t>
  </si>
  <si>
    <t>Jahr</t>
  </si>
  <si>
    <t>Kalenderwochen</t>
  </si>
  <si>
    <t>Sprint</t>
  </si>
  <si>
    <t>Mo</t>
  </si>
  <si>
    <t>Di</t>
  </si>
  <si>
    <t>Mi</t>
  </si>
  <si>
    <t>Do</t>
  </si>
  <si>
    <t>Fr</t>
  </si>
  <si>
    <t>Sa</t>
  </si>
  <si>
    <t>So</t>
  </si>
  <si>
    <t>Woche 1</t>
  </si>
  <si>
    <t>Summe/Woche</t>
  </si>
  <si>
    <t>Gesamtzeit im Sprint</t>
  </si>
  <si>
    <t>Tagessumme</t>
  </si>
  <si>
    <t>Woche 2</t>
  </si>
  <si>
    <t>Woche 3</t>
  </si>
  <si>
    <t>Woche 4</t>
  </si>
  <si>
    <t>Erklärung: nur befüllen der Arbeitsleistung pro Tag notwendig. Die restlichen Zellen aktualisieren sich selbst, Tagessummen aus der wöchentlichen Zeitplanung per "copy/paste" in Arbeitsleistung pro Tag übertragen</t>
  </si>
  <si>
    <t xml:space="preserve">Sprint </t>
  </si>
  <si>
    <t># Tage im Sprint</t>
  </si>
  <si>
    <t># Stunden im Sprint</t>
  </si>
  <si>
    <t>Ideale Workload pro Tag</t>
  </si>
  <si>
    <t>Tag</t>
  </si>
  <si>
    <t>Arbeitsleistung pro Tag</t>
  </si>
  <si>
    <t>restliche Stunden</t>
  </si>
  <si>
    <t>Ideale Workload</t>
  </si>
  <si>
    <t>Erklärung Burndown-Diagramm: Zeilen 6 "Tag", 7 "restliche Stunden", 8 "ideale Workload" markieren -&gt; Einfügen Dropdownmenü öffnen -&gt; Diagramm -&gt; Liniendiagramm</t>
  </si>
  <si>
    <t>Sam Wagner</t>
  </si>
  <si>
    <t>Milenko Pekez</t>
  </si>
  <si>
    <t>Delia Keller</t>
  </si>
  <si>
    <t>INT: Jira Konfiguration</t>
  </si>
  <si>
    <t>Epics anlegen</t>
  </si>
  <si>
    <t>POs einladen</t>
  </si>
  <si>
    <t>User Stories mit Beschreibung und Abnahmekriterium anlegen</t>
  </si>
  <si>
    <t>Sprint 1 anlegen, Sprintziel eintragen, Stories und Tasks zuweisen</t>
  </si>
  <si>
    <t>SM1: Jira Dokumentation</t>
  </si>
  <si>
    <t>Als Scrum Master möchte ich das Jira-Projekt vollständig konfigurieren, damit der PO den Fortschritt jederzeit einsehen kann.</t>
  </si>
  <si>
    <t>INT: Versionierung</t>
  </si>
  <si>
    <t>Als Team möchten wir einen Versionierung durch den Einsatz eines Git Repositories.</t>
  </si>
  <si>
    <t>US2: Metrik &amp; Datenquelle je Kriterium</t>
  </si>
  <si>
    <t>Als Team möchten wir für jedes Kriterium einen Metrik und Datenquellen festlegen, damit die Evaluation nachvollziehbar ist.</t>
  </si>
  <si>
    <t>Verfügbare Datenquellen am Lederhof recherchieren</t>
  </si>
  <si>
    <t>Metrik-Tabellen erstellen und in Kriterienkatalog einfügen</t>
  </si>
  <si>
    <t>INT: Coding- &amp; Doku-Richtlinien</t>
  </si>
  <si>
    <t>Als Team möchten wir gemeinsame Coding- und Dokumentationsrichtlinien festlegen, damit wir konsistent arbeiten können.</t>
  </si>
  <si>
    <t>Guideline-Dokument in Confluence schreiben</t>
  </si>
  <si>
    <t>Im Team abstimmen und abspeichern</t>
  </si>
  <si>
    <t>SCRUM-55</t>
  </si>
  <si>
    <t>SCRUM-28</t>
  </si>
  <si>
    <t>SCRUM-45</t>
  </si>
  <si>
    <t>SCRUM-46</t>
  </si>
  <si>
    <t>SCRUM-48</t>
  </si>
  <si>
    <t>SCRUM-47</t>
  </si>
  <si>
    <t>SCRUM-29</t>
  </si>
  <si>
    <t>SCRUM-30</t>
  </si>
  <si>
    <t>SCRUM-49</t>
  </si>
  <si>
    <t>SCRUM-50</t>
  </si>
  <si>
    <t>US1: Kriterienkatalog</t>
  </si>
  <si>
    <t>SCRUM-24</t>
  </si>
  <si>
    <t>SCRUM-37</t>
  </si>
  <si>
    <t>Als Stadtmitarbeiter/in möchte ich einen Kriterienkatalog einsehen, damit ich Maßnahmen objektiv vergleichen kann.</t>
  </si>
  <si>
    <t>Kriterien recherchieren &amp; Liste erstellen</t>
  </si>
  <si>
    <t>Jedes Kriterium schriftlich definieren</t>
  </si>
  <si>
    <t>Team-Review des Entwurfs &amp; Überarbeitung</t>
  </si>
  <si>
    <t>SCRUM-38</t>
  </si>
  <si>
    <t>SCRUM-39</t>
  </si>
  <si>
    <t>SCRUM-25</t>
  </si>
  <si>
    <t>SCRUM-40</t>
  </si>
  <si>
    <t>SCRUM-41</t>
  </si>
  <si>
    <t>SCRUM-26</t>
  </si>
  <si>
    <t>Als Stadtmitarbeiter/in möchte ich bisherige Maßnahmen am Lederhof als Übersicht einsehen</t>
  </si>
  <si>
    <t>US3: Maßnahmen dokumentieren</t>
  </si>
  <si>
    <t>SCRUM-42</t>
  </si>
  <si>
    <t>Maßnahmen aus DASU-Pitch-Folien extrahieren</t>
  </si>
  <si>
    <t>SCRUM-43</t>
  </si>
  <si>
    <t>Quellen sichten und auswerten</t>
  </si>
  <si>
    <t>SCRUM-44</t>
  </si>
  <si>
    <t>Recherche Kurzbericht schreiben und abspeichern</t>
  </si>
  <si>
    <t>Sprint 1 Zeiterfassung SOLL</t>
  </si>
  <si>
    <t>Als Scrum Master möchte ich das die Jira Dokumentation während des Sprints auf dem aktuellen Stand ist.</t>
  </si>
  <si>
    <t>Kommentar DK:  Anlage Zeitplanung, Anlage Sprint 2</t>
  </si>
  <si>
    <t>Sprint 1 Zeiterfassung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</si>
</sst>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5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Verdana"/>
      <family val="2"/>
    </font>
    <font>
      <b/>
      <sz val="10"/>
      <color rgb="FF1F2428"/>
      <name val="Arial"/>
      <family val="2"/>
      <scheme val="minor"/>
    </font>
    <font>
      <b/>
      <sz val="10"/>
      <color rgb="FF1F2428"/>
      <name val="Arial"/>
      <family val="2"/>
    </font>
    <font>
      <sz val="10"/>
      <color rgb="FF1F2428"/>
      <name val="Arial"/>
      <family val="2"/>
      <scheme val="minor"/>
    </font>
    <font>
      <sz val="10"/>
      <color rgb="FF1F2428"/>
      <name val="Arial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CCCCCC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92A2E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rgb="FFEBECF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4" fillId="2" borderId="3" xfId="0" applyFont="1" applyFill="1" applyBorder="1"/>
    <xf numFmtId="0" fontId="3" fillId="2" borderId="5" xfId="0" applyFont="1" applyFill="1" applyBorder="1"/>
    <xf numFmtId="0" fontId="4" fillId="2" borderId="1" xfId="0" applyFont="1" applyFill="1" applyBorder="1"/>
    <xf numFmtId="0" fontId="3" fillId="2" borderId="2" xfId="0" applyFont="1" applyFill="1" applyBorder="1"/>
    <xf numFmtId="0" fontId="3" fillId="3" borderId="6" xfId="0" applyFont="1" applyFill="1" applyBorder="1"/>
    <xf numFmtId="0" fontId="5" fillId="0" borderId="0" xfId="0" applyFont="1"/>
    <xf numFmtId="0" fontId="3" fillId="0" borderId="0" xfId="0" applyFont="1"/>
    <xf numFmtId="0" fontId="3" fillId="2" borderId="4" xfId="0" applyFont="1" applyFill="1" applyBorder="1"/>
    <xf numFmtId="0" fontId="3" fillId="2" borderId="0" xfId="0" applyFont="1" applyFill="1"/>
    <xf numFmtId="0" fontId="3" fillId="3" borderId="1" xfId="0" applyFont="1" applyFill="1" applyBorder="1"/>
    <xf numFmtId="0" fontId="3" fillId="3" borderId="3" xfId="0" applyFont="1" applyFill="1" applyBorder="1"/>
    <xf numFmtId="0" fontId="6" fillId="4" borderId="0" xfId="0" applyFont="1" applyFill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4" fillId="2" borderId="7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7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6" borderId="10" xfId="0" applyFont="1" applyFill="1" applyBorder="1"/>
    <xf numFmtId="0" fontId="9" fillId="6" borderId="11" xfId="0" applyFont="1" applyFill="1" applyBorder="1"/>
    <xf numFmtId="0" fontId="9" fillId="6" borderId="12" xfId="0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2" borderId="10" xfId="0" applyFont="1" applyFill="1" applyBorder="1"/>
    <xf numFmtId="0" fontId="9" fillId="2" borderId="11" xfId="0" applyFont="1" applyFill="1" applyBorder="1"/>
    <xf numFmtId="0" fontId="9" fillId="2" borderId="2" xfId="0" applyFont="1" applyFill="1" applyBorder="1"/>
    <xf numFmtId="0" fontId="9" fillId="2" borderId="12" xfId="0" applyFont="1" applyFill="1" applyBorder="1"/>
    <xf numFmtId="0" fontId="11" fillId="0" borderId="1" xfId="0" applyFont="1" applyBorder="1"/>
    <xf numFmtId="0" fontId="11" fillId="7" borderId="10" xfId="0" applyFont="1" applyFill="1" applyBorder="1"/>
    <xf numFmtId="164" fontId="0" fillId="0" borderId="6" xfId="0" applyNumberFormat="1" applyBorder="1"/>
    <xf numFmtId="0" fontId="11" fillId="7" borderId="12" xfId="0" applyFont="1" applyFill="1" applyBorder="1"/>
    <xf numFmtId="164" fontId="0" fillId="0" borderId="12" xfId="0" applyNumberFormat="1" applyBorder="1"/>
    <xf numFmtId="0" fontId="11" fillId="0" borderId="2" xfId="0" applyFont="1" applyBorder="1"/>
    <xf numFmtId="0" fontId="0" fillId="0" borderId="3" xfId="0" applyBorder="1"/>
    <xf numFmtId="0" fontId="9" fillId="0" borderId="4" xfId="0" applyFont="1" applyBorder="1"/>
    <xf numFmtId="0" fontId="11" fillId="0" borderId="0" xfId="0" applyFont="1"/>
    <xf numFmtId="0" fontId="0" fillId="0" borderId="5" xfId="0" applyBorder="1"/>
    <xf numFmtId="0" fontId="9" fillId="0" borderId="7" xfId="0" applyFont="1" applyBorder="1"/>
    <xf numFmtId="0" fontId="9" fillId="0" borderId="8" xfId="0" applyFont="1" applyBorder="1"/>
    <xf numFmtId="0" fontId="10" fillId="0" borderId="8" xfId="0" applyFont="1" applyBorder="1"/>
    <xf numFmtId="0" fontId="0" fillId="0" borderId="8" xfId="0" applyBorder="1"/>
    <xf numFmtId="0" fontId="9" fillId="0" borderId="9" xfId="0" applyFont="1" applyBorder="1"/>
    <xf numFmtId="0" fontId="11" fillId="0" borderId="0" xfId="0" applyFont="1" applyAlignment="1">
      <alignment horizontal="center"/>
    </xf>
    <xf numFmtId="0" fontId="12" fillId="0" borderId="0" xfId="0" applyFont="1"/>
    <xf numFmtId="0" fontId="11" fillId="8" borderId="1" xfId="0" applyFont="1" applyFill="1" applyBorder="1"/>
    <xf numFmtId="164" fontId="0" fillId="8" borderId="2" xfId="0" applyNumberFormat="1" applyFill="1" applyBorder="1" applyAlignment="1">
      <alignment horizontal="right"/>
    </xf>
    <xf numFmtId="164" fontId="0" fillId="8" borderId="3" xfId="0" applyNumberFormat="1" applyFill="1" applyBorder="1" applyAlignment="1">
      <alignment horizontal="right"/>
    </xf>
    <xf numFmtId="0" fontId="0" fillId="8" borderId="2" xfId="0" applyFill="1" applyBorder="1"/>
    <xf numFmtId="0" fontId="0" fillId="8" borderId="3" xfId="0" applyFill="1" applyBorder="1"/>
    <xf numFmtId="0" fontId="13" fillId="0" borderId="0" xfId="0" applyFont="1"/>
    <xf numFmtId="0" fontId="0" fillId="5" borderId="4" xfId="0" applyFill="1" applyBorder="1"/>
    <xf numFmtId="1" fontId="0" fillId="0" borderId="0" xfId="0" applyNumberFormat="1" applyAlignment="1">
      <alignment horizontal="right"/>
    </xf>
    <xf numFmtId="1" fontId="0" fillId="0" borderId="5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0" fontId="11" fillId="8" borderId="4" xfId="0" applyFont="1" applyFill="1" applyBorder="1"/>
    <xf numFmtId="0" fontId="0" fillId="8" borderId="0" xfId="0" applyFill="1"/>
    <xf numFmtId="0" fontId="0" fillId="8" borderId="5" xfId="0" applyFill="1" applyBorder="1"/>
    <xf numFmtId="0" fontId="11" fillId="8" borderId="0" xfId="0" applyFont="1" applyFill="1"/>
    <xf numFmtId="0" fontId="11" fillId="8" borderId="5" xfId="0" applyFont="1" applyFill="1" applyBorder="1"/>
    <xf numFmtId="49" fontId="0" fillId="8" borderId="7" xfId="0" applyNumberFormat="1" applyFill="1" applyBorder="1"/>
    <xf numFmtId="49" fontId="0" fillId="8" borderId="8" xfId="0" applyNumberFormat="1" applyFill="1" applyBorder="1"/>
    <xf numFmtId="49" fontId="0" fillId="8" borderId="9" xfId="0" applyNumberFormat="1" applyFill="1" applyBorder="1"/>
    <xf numFmtId="1" fontId="0" fillId="0" borderId="0" xfId="0" applyNumberFormat="1"/>
    <xf numFmtId="1" fontId="0" fillId="0" borderId="5" xfId="0" applyNumberFormat="1" applyBorder="1"/>
    <xf numFmtId="0" fontId="14" fillId="0" borderId="1" xfId="0" applyFont="1" applyBorder="1"/>
    <xf numFmtId="1" fontId="12" fillId="0" borderId="2" xfId="0" applyNumberFormat="1" applyFont="1" applyBorder="1"/>
    <xf numFmtId="1" fontId="12" fillId="0" borderId="3" xfId="0" applyNumberFormat="1" applyFont="1" applyBorder="1"/>
    <xf numFmtId="49" fontId="14" fillId="0" borderId="6" xfId="0" applyNumberFormat="1" applyFont="1" applyBorder="1" applyAlignment="1">
      <alignment horizontal="right"/>
    </xf>
    <xf numFmtId="0" fontId="14" fillId="0" borderId="10" xfId="0" applyFont="1" applyBorder="1"/>
    <xf numFmtId="1" fontId="0" fillId="5" borderId="11" xfId="0" applyNumberFormat="1" applyFill="1" applyBorder="1"/>
    <xf numFmtId="1" fontId="0" fillId="5" borderId="12" xfId="0" applyNumberFormat="1" applyFill="1" applyBorder="1"/>
    <xf numFmtId="1" fontId="11" fillId="0" borderId="0" xfId="0" applyNumberFormat="1" applyFont="1"/>
    <xf numFmtId="1" fontId="12" fillId="0" borderId="11" xfId="0" applyNumberFormat="1" applyFont="1" applyBorder="1"/>
    <xf numFmtId="1" fontId="12" fillId="0" borderId="12" xfId="0" applyNumberFormat="1" applyFont="1" applyBorder="1"/>
    <xf numFmtId="0" fontId="0" fillId="5" borderId="7" xfId="0" applyFill="1" applyBorder="1"/>
    <xf numFmtId="1" fontId="0" fillId="0" borderId="8" xfId="0" applyNumberFormat="1" applyBorder="1"/>
    <xf numFmtId="1" fontId="0" fillId="0" borderId="9" xfId="0" applyNumberFormat="1" applyBorder="1"/>
    <xf numFmtId="0" fontId="15" fillId="6" borderId="11" xfId="0" applyFont="1" applyFill="1" applyBorder="1"/>
    <xf numFmtId="0" fontId="16" fillId="2" borderId="1" xfId="0" applyFont="1" applyFill="1" applyBorder="1" applyAlignment="1">
      <alignment horizontal="right"/>
    </xf>
    <xf numFmtId="0" fontId="16" fillId="2" borderId="2" xfId="0" applyFont="1" applyFill="1" applyBorder="1"/>
    <xf numFmtId="0" fontId="16" fillId="2" borderId="13" xfId="0" applyFont="1" applyFill="1" applyBorder="1" applyAlignment="1">
      <alignment horizontal="center"/>
    </xf>
    <xf numFmtId="0" fontId="12" fillId="2" borderId="2" xfId="0" applyFont="1" applyFill="1" applyBorder="1"/>
    <xf numFmtId="0" fontId="9" fillId="2" borderId="3" xfId="0" applyFont="1" applyFill="1" applyBorder="1"/>
    <xf numFmtId="0" fontId="12" fillId="2" borderId="4" xfId="0" applyFont="1" applyFill="1" applyBorder="1"/>
    <xf numFmtId="0" fontId="16" fillId="2" borderId="0" xfId="0" applyFont="1" applyFill="1"/>
    <xf numFmtId="0" fontId="16" fillId="2" borderId="14" xfId="0" applyFont="1" applyFill="1" applyBorder="1" applyAlignment="1">
      <alignment horizontal="center"/>
    </xf>
    <xf numFmtId="0" fontId="12" fillId="2" borderId="0" xfId="0" applyFont="1" applyFill="1"/>
    <xf numFmtId="0" fontId="9" fillId="2" borderId="0" xfId="0" applyFont="1" applyFill="1"/>
    <xf numFmtId="0" fontId="9" fillId="2" borderId="5" xfId="0" applyFont="1" applyFill="1" applyBorder="1"/>
    <xf numFmtId="0" fontId="9" fillId="2" borderId="7" xfId="0" applyFont="1" applyFill="1" applyBorder="1"/>
    <xf numFmtId="0" fontId="10" fillId="2" borderId="8" xfId="0" applyFont="1" applyFill="1" applyBorder="1"/>
    <xf numFmtId="0" fontId="10" fillId="2" borderId="15" xfId="0" applyFont="1" applyFill="1" applyBorder="1" applyAlignment="1">
      <alignment horizontal="center"/>
    </xf>
    <xf numFmtId="0" fontId="12" fillId="2" borderId="8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16" fillId="2" borderId="4" xfId="0" applyFont="1" applyFill="1" applyBorder="1" applyAlignment="1">
      <alignment horizontal="right"/>
    </xf>
    <xf numFmtId="1" fontId="16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7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9" fillId="0" borderId="5" xfId="0" applyFont="1" applyBorder="1"/>
    <xf numFmtId="0" fontId="18" fillId="7" borderId="0" xfId="0" applyFont="1" applyFill="1" applyAlignment="1">
      <alignment horizontal="right"/>
    </xf>
    <xf numFmtId="0" fontId="19" fillId="7" borderId="0" xfId="0" applyFont="1" applyFill="1" applyAlignment="1">
      <alignment horizontal="right"/>
    </xf>
    <xf numFmtId="0" fontId="19" fillId="0" borderId="5" xfId="0" applyFont="1" applyBorder="1" applyAlignment="1">
      <alignment horizontal="right"/>
    </xf>
    <xf numFmtId="0" fontId="12" fillId="2" borderId="7" xfId="0" applyFont="1" applyFill="1" applyBorder="1"/>
    <xf numFmtId="0" fontId="16" fillId="2" borderId="8" xfId="0" applyFont="1" applyFill="1" applyBorder="1"/>
    <xf numFmtId="0" fontId="18" fillId="7" borderId="8" xfId="0" applyFont="1" applyFill="1" applyBorder="1" applyAlignment="1">
      <alignment horizontal="right"/>
    </xf>
    <xf numFmtId="0" fontId="19" fillId="7" borderId="8" xfId="0" applyFont="1" applyFill="1" applyBorder="1" applyAlignment="1">
      <alignment horizontal="right"/>
    </xf>
    <xf numFmtId="0" fontId="19" fillId="0" borderId="8" xfId="0" applyFont="1" applyBorder="1" applyAlignment="1">
      <alignment horizontal="right"/>
    </xf>
    <xf numFmtId="0" fontId="19" fillId="0" borderId="9" xfId="0" applyFont="1" applyBorder="1" applyAlignment="1">
      <alignment horizontal="right"/>
    </xf>
    <xf numFmtId="0" fontId="20" fillId="2" borderId="10" xfId="0" applyFont="1" applyFill="1" applyBorder="1"/>
    <xf numFmtId="0" fontId="21" fillId="2" borderId="11" xfId="0" applyFont="1" applyFill="1" applyBorder="1"/>
    <xf numFmtId="0" fontId="21" fillId="2" borderId="12" xfId="0" applyFont="1" applyFill="1" applyBorder="1"/>
    <xf numFmtId="0" fontId="22" fillId="2" borderId="11" xfId="0" applyFont="1" applyFill="1" applyBorder="1"/>
    <xf numFmtId="0" fontId="22" fillId="2" borderId="12" xfId="0" applyFont="1" applyFill="1" applyBorder="1"/>
    <xf numFmtId="0" fontId="6" fillId="9" borderId="0" xfId="0" applyFont="1" applyFill="1"/>
    <xf numFmtId="0" fontId="5" fillId="10" borderId="0" xfId="0" applyFont="1" applyFill="1"/>
    <xf numFmtId="0" fontId="3" fillId="10" borderId="0" xfId="0" applyFont="1" applyFill="1"/>
    <xf numFmtId="0" fontId="6" fillId="10" borderId="0" xfId="0" applyFont="1" applyFill="1" applyAlignment="1">
      <alignment horizontal="right"/>
    </xf>
    <xf numFmtId="0" fontId="5" fillId="11" borderId="0" xfId="0" applyFont="1" applyFill="1"/>
    <xf numFmtId="0" fontId="6" fillId="11" borderId="0" xfId="0" applyFont="1" applyFill="1" applyAlignment="1">
      <alignment horizontal="right"/>
    </xf>
    <xf numFmtId="0" fontId="5" fillId="12" borderId="0" xfId="0" applyFont="1" applyFill="1"/>
    <xf numFmtId="0" fontId="3" fillId="12" borderId="0" xfId="0" applyFont="1" applyFill="1"/>
    <xf numFmtId="0" fontId="3" fillId="12" borderId="0" xfId="0" applyFont="1" applyFill="1" applyAlignment="1">
      <alignment wrapText="1"/>
    </xf>
    <xf numFmtId="0" fontId="3" fillId="11" borderId="0" xfId="0" applyFont="1" applyFill="1" applyAlignment="1">
      <alignment vertical="center" wrapText="1"/>
    </xf>
    <xf numFmtId="0" fontId="23" fillId="10" borderId="0" xfId="0" applyFont="1" applyFill="1" applyAlignment="1">
      <alignment wrapText="1"/>
    </xf>
    <xf numFmtId="0" fontId="24" fillId="10" borderId="0" xfId="0" applyFont="1" applyFill="1" applyAlignment="1">
      <alignment wrapText="1"/>
    </xf>
    <xf numFmtId="0" fontId="6" fillId="12" borderId="0" xfId="0" applyFont="1" applyFill="1"/>
    <xf numFmtId="0" fontId="6" fillId="12" borderId="0" xfId="0" applyFont="1" applyFill="1" applyAlignment="1">
      <alignment horizontal="right"/>
    </xf>
    <xf numFmtId="0" fontId="6" fillId="0" borderId="0" xfId="0" applyFont="1" applyFill="1"/>
    <xf numFmtId="0" fontId="23" fillId="0" borderId="0" xfId="0" applyFont="1" applyFill="1" applyAlignment="1">
      <alignment wrapText="1"/>
    </xf>
    <xf numFmtId="0" fontId="3" fillId="0" borderId="0" xfId="0" applyFont="1" applyFill="1"/>
    <xf numFmtId="0" fontId="6" fillId="0" borderId="0" xfId="0" applyFont="1" applyFill="1" applyAlignment="1">
      <alignment horizontal="right"/>
    </xf>
    <xf numFmtId="0" fontId="0" fillId="0" borderId="0" xfId="0" applyFill="1"/>
    <xf numFmtId="0" fontId="3" fillId="12" borderId="0" xfId="0" applyFont="1" applyFill="1" applyAlignment="1">
      <alignment vertical="center" wrapText="1"/>
    </xf>
    <xf numFmtId="0" fontId="5" fillId="0" borderId="0" xfId="0" applyFont="1" applyFill="1"/>
    <xf numFmtId="0" fontId="24" fillId="0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3" fillId="0" borderId="2" xfId="0" applyFont="1" applyFill="1" applyBorder="1"/>
    <xf numFmtId="0" fontId="5" fillId="0" borderId="2" xfId="0" applyFont="1" applyFill="1" applyBorder="1"/>
    <xf numFmtId="0" fontId="6" fillId="0" borderId="2" xfId="0" applyFont="1" applyFill="1" applyBorder="1"/>
    <xf numFmtId="0" fontId="5" fillId="0" borderId="2" xfId="0" applyFont="1" applyFill="1" applyBorder="1" applyAlignment="1">
      <alignment horizontal="right"/>
    </xf>
    <xf numFmtId="0" fontId="5" fillId="0" borderId="0" xfId="0" applyFont="1" applyFill="1" applyAlignment="1">
      <alignment horizontal="right"/>
    </xf>
    <xf numFmtId="0" fontId="3" fillId="0" borderId="0" xfId="0" applyFont="1" applyAlignment="1">
      <alignment wrapText="1"/>
    </xf>
  </cellXfs>
  <cellStyles count="1">
    <cellStyle name="Standard" xfId="0" builtinId="0"/>
  </cellStyles>
  <dxfs count="4">
    <dxf>
      <fill>
        <patternFill patternType="solid">
          <fgColor rgb="FFEFEFEF"/>
          <bgColor rgb="FFEFEFEF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Burndown Diagramm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'Burndown Chart'!$A$7:$B$7</c:f>
              <c:strCache>
                <c:ptCount val="2"/>
                <c:pt idx="1">
                  <c:v>restliche Stunden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'Burndown Chart'!$C$5:$V$5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'Burndown Chart'!$C$7:$V$7</c:f>
              <c:numCache>
                <c:formatCode>General</c:formatCode>
                <c:ptCount val="20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8-46D3-AF5D-CEAEB30EEACF}"/>
            </c:ext>
          </c:extLst>
        </c:ser>
        <c:ser>
          <c:idx val="1"/>
          <c:order val="1"/>
          <c:tx>
            <c:strRef>
              <c:f>'Burndown Chart'!$A$8:$B$8</c:f>
              <c:strCache>
                <c:ptCount val="2"/>
                <c:pt idx="1">
                  <c:v>Ideale Workload</c:v>
                </c:pt>
              </c:strCache>
            </c:strRef>
          </c:tx>
          <c:spPr>
            <a:ln cmpd="sng">
              <a:solidFill>
                <a:srgbClr val="93C47D"/>
              </a:solidFill>
            </a:ln>
          </c:spPr>
          <c:marker>
            <c:symbol val="none"/>
          </c:marker>
          <c:cat>
            <c:numRef>
              <c:f>'Burndown Chart'!$C$5:$V$5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'Burndown Chart'!$C$8:$V$8</c:f>
              <c:numCache>
                <c:formatCode>General</c:formatCode>
                <c:ptCount val="20"/>
                <c:pt idx="0">
                  <c:v>85.5</c:v>
                </c:pt>
                <c:pt idx="1">
                  <c:v>81</c:v>
                </c:pt>
                <c:pt idx="2">
                  <c:v>76.5</c:v>
                </c:pt>
                <c:pt idx="3">
                  <c:v>72</c:v>
                </c:pt>
                <c:pt idx="4">
                  <c:v>67.5</c:v>
                </c:pt>
                <c:pt idx="5">
                  <c:v>63</c:v>
                </c:pt>
                <c:pt idx="6">
                  <c:v>58.5</c:v>
                </c:pt>
                <c:pt idx="7">
                  <c:v>54</c:v>
                </c:pt>
                <c:pt idx="8">
                  <c:v>49.5</c:v>
                </c:pt>
                <c:pt idx="9">
                  <c:v>45</c:v>
                </c:pt>
                <c:pt idx="10">
                  <c:v>40.5</c:v>
                </c:pt>
                <c:pt idx="11">
                  <c:v>36</c:v>
                </c:pt>
                <c:pt idx="12">
                  <c:v>31.5</c:v>
                </c:pt>
                <c:pt idx="13">
                  <c:v>27</c:v>
                </c:pt>
                <c:pt idx="14">
                  <c:v>22.5</c:v>
                </c:pt>
                <c:pt idx="15">
                  <c:v>18</c:v>
                </c:pt>
                <c:pt idx="16">
                  <c:v>13.5</c:v>
                </c:pt>
                <c:pt idx="17">
                  <c:v>9</c:v>
                </c:pt>
                <c:pt idx="18">
                  <c:v>4.5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8-46D3-AF5D-CEAEB30EE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167655"/>
        <c:axId val="1313379781"/>
      </c:lineChart>
      <c:catAx>
        <c:axId val="171516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313379781"/>
        <c:crosses val="autoZero"/>
        <c:auto val="1"/>
        <c:lblAlgn val="ctr"/>
        <c:lblOffset val="100"/>
        <c:noMultiLvlLbl val="1"/>
      </c:catAx>
      <c:valAx>
        <c:axId val="1313379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verbleibende Arbeitsleistung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7151676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8</xdr:row>
      <xdr:rowOff>104775</xdr:rowOff>
    </xdr:from>
    <xdr:ext cx="5715000" cy="3533775"/>
    <xdr:graphicFrame macro="">
      <xdr:nvGraphicFramePr>
        <xdr:cNvPr id="2" name="Chart 1" title="Diagram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93C47D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0"/>
  <sheetViews>
    <sheetView tabSelected="1" workbookViewId="0">
      <selection activeCell="J16" sqref="J16"/>
    </sheetView>
  </sheetViews>
  <sheetFormatPr baseColWidth="10" defaultColWidth="12.5703125" defaultRowHeight="15.75" customHeight="1" x14ac:dyDescent="0.2"/>
  <cols>
    <col min="1" max="1" width="11.140625" customWidth="1"/>
    <col min="2" max="2" width="56.28515625" customWidth="1"/>
    <col min="3" max="3" width="36.42578125" customWidth="1"/>
    <col min="4" max="4" width="14.28515625" bestFit="1" customWidth="1"/>
    <col min="5" max="5" width="13.85546875" customWidth="1"/>
    <col min="6" max="6" width="11.7109375" bestFit="1" customWidth="1"/>
    <col min="7" max="7" width="17" customWidth="1"/>
    <col min="9" max="9" width="20.7109375" customWidth="1"/>
  </cols>
  <sheetData>
    <row r="1" spans="1:26" x14ac:dyDescent="0.25">
      <c r="A1" s="1" t="s">
        <v>0</v>
      </c>
      <c r="B1" s="2"/>
      <c r="C1" s="3"/>
      <c r="D1" s="4" t="s">
        <v>1</v>
      </c>
      <c r="E1" s="5" t="s">
        <v>2</v>
      </c>
      <c r="F1" s="6"/>
      <c r="G1" s="7" t="s">
        <v>3</v>
      </c>
      <c r="H1" s="8"/>
      <c r="I1" s="9">
        <v>3</v>
      </c>
      <c r="J1" s="10" t="s">
        <v>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x14ac:dyDescent="0.2">
      <c r="A2" s="12" t="s">
        <v>5</v>
      </c>
      <c r="B2" s="13"/>
      <c r="C2" s="6"/>
      <c r="D2" s="4">
        <v>1</v>
      </c>
      <c r="E2" s="14" t="s">
        <v>59</v>
      </c>
      <c r="F2" s="15"/>
      <c r="G2" s="4" t="s">
        <v>6</v>
      </c>
      <c r="H2" s="13"/>
      <c r="I2" s="9">
        <v>30</v>
      </c>
      <c r="J2" s="16" t="s">
        <v>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x14ac:dyDescent="0.2">
      <c r="A3" s="12" t="s">
        <v>8</v>
      </c>
      <c r="B3" s="13"/>
      <c r="C3" s="6"/>
      <c r="D3" s="4">
        <v>2</v>
      </c>
      <c r="E3" s="17" t="s">
        <v>60</v>
      </c>
      <c r="F3" s="18"/>
      <c r="G3" s="4" t="s">
        <v>9</v>
      </c>
      <c r="H3" s="13"/>
      <c r="I3" s="6">
        <f>I2*I1</f>
        <v>90</v>
      </c>
      <c r="J3" s="144" t="s">
        <v>10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">
      <c r="A4" s="12" t="s">
        <v>11</v>
      </c>
      <c r="B4" s="13"/>
      <c r="C4" s="6"/>
      <c r="D4" s="4">
        <v>3</v>
      </c>
      <c r="E4" s="17" t="s">
        <v>61</v>
      </c>
      <c r="F4" s="18"/>
      <c r="G4" s="12"/>
      <c r="H4" s="13"/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x14ac:dyDescent="0.2">
      <c r="A5" s="19" t="s">
        <v>12</v>
      </c>
      <c r="B5" s="20"/>
      <c r="C5" s="21"/>
      <c r="D5" s="22">
        <v>4</v>
      </c>
      <c r="E5" s="23"/>
      <c r="F5" s="24"/>
      <c r="G5" s="19"/>
      <c r="H5" s="20"/>
      <c r="I5" s="2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25" t="s">
        <v>110</v>
      </c>
      <c r="B8" s="11"/>
      <c r="C8" s="11"/>
      <c r="D8" s="10" t="s">
        <v>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x14ac:dyDescent="0.2">
      <c r="A9" s="10" t="s">
        <v>13</v>
      </c>
      <c r="B9" s="10" t="s">
        <v>14</v>
      </c>
      <c r="C9" s="10" t="s">
        <v>15</v>
      </c>
      <c r="D9" s="10" t="str">
        <f>E2</f>
        <v>Sam Wagner</v>
      </c>
      <c r="E9" s="10" t="str">
        <f>E3</f>
        <v>Milenko Pekez</v>
      </c>
      <c r="F9" s="10" t="str">
        <f>E4</f>
        <v>Delia Keller</v>
      </c>
      <c r="G9" s="26">
        <f>E5</f>
        <v>0</v>
      </c>
      <c r="H9" s="10" t="s">
        <v>16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8.25" x14ac:dyDescent="0.2">
      <c r="A10" s="16" t="s">
        <v>79</v>
      </c>
      <c r="B10" s="134" t="s">
        <v>67</v>
      </c>
      <c r="C10" s="136" t="s">
        <v>111</v>
      </c>
      <c r="D10" s="135">
        <v>5</v>
      </c>
      <c r="E10" s="135"/>
      <c r="F10" s="135"/>
      <c r="G10" s="135"/>
      <c r="H10" s="135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51" x14ac:dyDescent="0.2">
      <c r="A11" s="16" t="s">
        <v>80</v>
      </c>
      <c r="B11" s="134" t="s">
        <v>62</v>
      </c>
      <c r="C11" s="147" t="s">
        <v>68</v>
      </c>
      <c r="D11" s="135">
        <v>13</v>
      </c>
      <c r="E11" s="135"/>
      <c r="F11" s="135"/>
      <c r="G11" s="135"/>
      <c r="H11" s="135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x14ac:dyDescent="0.2">
      <c r="A12" s="27" t="s">
        <v>81</v>
      </c>
      <c r="B12" s="27" t="s">
        <v>63</v>
      </c>
      <c r="C12" s="10"/>
      <c r="D12" s="28"/>
      <c r="E12" s="28"/>
      <c r="F12" s="28"/>
      <c r="G12" s="2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x14ac:dyDescent="0.2">
      <c r="A13" s="27" t="s">
        <v>82</v>
      </c>
      <c r="B13" s="27" t="s">
        <v>65</v>
      </c>
      <c r="C13" s="11"/>
      <c r="D13" s="28"/>
      <c r="E13" s="28"/>
      <c r="F13" s="28"/>
      <c r="G13" s="2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x14ac:dyDescent="0.2">
      <c r="A14" s="27" t="s">
        <v>84</v>
      </c>
      <c r="B14" s="27" t="s">
        <v>66</v>
      </c>
      <c r="C14" s="11"/>
      <c r="D14" s="28"/>
      <c r="E14" s="28"/>
      <c r="F14" s="28"/>
      <c r="G14" s="2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x14ac:dyDescent="0.2">
      <c r="A15" s="27" t="s">
        <v>83</v>
      </c>
      <c r="B15" s="27" t="s">
        <v>64</v>
      </c>
      <c r="C15" s="11"/>
      <c r="D15" s="28"/>
      <c r="E15" s="28"/>
      <c r="F15" s="28"/>
      <c r="G15" s="2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7" customHeight="1" x14ac:dyDescent="0.2">
      <c r="A16" s="128" t="s">
        <v>85</v>
      </c>
      <c r="B16" s="132" t="s">
        <v>69</v>
      </c>
      <c r="C16" s="137" t="s">
        <v>70</v>
      </c>
      <c r="D16" s="133"/>
      <c r="E16" s="133"/>
      <c r="F16" s="133">
        <v>5</v>
      </c>
      <c r="G16" s="133"/>
      <c r="H16" s="13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51" x14ac:dyDescent="0.2">
      <c r="A17" s="16" t="s">
        <v>86</v>
      </c>
      <c r="B17" s="134" t="s">
        <v>75</v>
      </c>
      <c r="C17" s="139" t="s">
        <v>76</v>
      </c>
      <c r="D17" s="140"/>
      <c r="E17" s="141"/>
      <c r="F17" s="135">
        <v>5</v>
      </c>
      <c r="G17" s="135"/>
      <c r="H17" s="135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146" customFormat="1" ht="12.75" x14ac:dyDescent="0.2">
      <c r="A18" s="142" t="s">
        <v>87</v>
      </c>
      <c r="B18" s="142" t="s">
        <v>77</v>
      </c>
      <c r="C18" s="149"/>
      <c r="D18" s="142"/>
      <c r="E18" s="145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spans="1:26" s="146" customFormat="1" ht="12.75" x14ac:dyDescent="0.2">
      <c r="A19" s="142" t="s">
        <v>88</v>
      </c>
      <c r="B19" s="142" t="s">
        <v>78</v>
      </c>
      <c r="C19" s="149"/>
      <c r="D19" s="142"/>
      <c r="E19" s="145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spans="1:26" ht="38.25" x14ac:dyDescent="0.2">
      <c r="A20" s="16" t="s">
        <v>90</v>
      </c>
      <c r="B20" s="134" t="s">
        <v>89</v>
      </c>
      <c r="C20" s="138" t="s">
        <v>92</v>
      </c>
      <c r="D20" s="140">
        <v>21</v>
      </c>
      <c r="E20" s="141"/>
      <c r="F20" s="135"/>
      <c r="G20" s="135"/>
      <c r="H20" s="13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146" customFormat="1" ht="12.75" x14ac:dyDescent="0.2">
      <c r="A21" s="142" t="s">
        <v>91</v>
      </c>
      <c r="B21" s="142" t="s">
        <v>93</v>
      </c>
      <c r="C21" s="143"/>
      <c r="D21" s="142"/>
      <c r="E21" s="145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spans="1:26" s="146" customFormat="1" ht="12.75" x14ac:dyDescent="0.2">
      <c r="A22" s="142" t="s">
        <v>96</v>
      </c>
      <c r="B22" s="142" t="s">
        <v>94</v>
      </c>
      <c r="C22" s="143"/>
      <c r="D22" s="142"/>
      <c r="E22" s="145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spans="1:26" s="146" customFormat="1" ht="12.75" x14ac:dyDescent="0.2">
      <c r="A23" s="142" t="s">
        <v>97</v>
      </c>
      <c r="B23" s="142" t="s">
        <v>95</v>
      </c>
      <c r="C23" s="143"/>
      <c r="D23" s="142"/>
      <c r="E23" s="145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spans="1:26" ht="38.25" x14ac:dyDescent="0.2">
      <c r="A24" s="128" t="s">
        <v>98</v>
      </c>
      <c r="B24" s="129" t="s">
        <v>71</v>
      </c>
      <c r="C24" s="138" t="s">
        <v>72</v>
      </c>
      <c r="D24" s="130"/>
      <c r="E24" s="130">
        <v>21</v>
      </c>
      <c r="F24" s="131"/>
      <c r="G24" s="131"/>
      <c r="H24" s="13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s="146" customFormat="1" ht="12.75" x14ac:dyDescent="0.2">
      <c r="A25" s="142" t="s">
        <v>99</v>
      </c>
      <c r="B25" s="142" t="s">
        <v>73</v>
      </c>
      <c r="C25" s="143"/>
      <c r="D25" s="144"/>
      <c r="E25" s="144"/>
      <c r="F25" s="145"/>
      <c r="G25" s="145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spans="1:26" s="146" customFormat="1" ht="12.75" x14ac:dyDescent="0.2">
      <c r="A26" s="142" t="s">
        <v>100</v>
      </c>
      <c r="B26" s="142" t="s">
        <v>74</v>
      </c>
      <c r="C26" s="143"/>
      <c r="D26" s="144"/>
      <c r="E26" s="144"/>
      <c r="F26" s="145"/>
      <c r="G26" s="145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spans="1:26" ht="38.25" x14ac:dyDescent="0.2">
      <c r="A27" s="16" t="s">
        <v>101</v>
      </c>
      <c r="B27" s="134" t="s">
        <v>103</v>
      </c>
      <c r="C27" s="150" t="s">
        <v>102</v>
      </c>
      <c r="D27" s="135"/>
      <c r="E27" s="135">
        <v>13</v>
      </c>
      <c r="F27" s="135"/>
      <c r="G27" s="135"/>
      <c r="H27" s="135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x14ac:dyDescent="0.2">
      <c r="A28" s="27" t="s">
        <v>104</v>
      </c>
      <c r="B28" s="142" t="s">
        <v>105</v>
      </c>
      <c r="C28" s="27"/>
      <c r="D28" s="27"/>
      <c r="E28" s="11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x14ac:dyDescent="0.2">
      <c r="A29" s="27" t="s">
        <v>106</v>
      </c>
      <c r="B29" s="142" t="s">
        <v>107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x14ac:dyDescent="0.2">
      <c r="A30" s="27" t="s">
        <v>108</v>
      </c>
      <c r="B30" s="142" t="s">
        <v>109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x14ac:dyDescent="0.2">
      <c r="A31" s="27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s="146" customFormat="1" ht="12.75" x14ac:dyDescent="0.2">
      <c r="A33" s="151"/>
      <c r="B33" s="152" t="s">
        <v>17</v>
      </c>
      <c r="C33" s="151" t="s">
        <v>18</v>
      </c>
      <c r="D33" s="153">
        <f>IF(E2&lt;&gt;"",SUM(D10:D32),"")</f>
        <v>39</v>
      </c>
      <c r="E33" s="153">
        <f>IF(E3&lt;&gt;"",SUM(E10:E32),"")</f>
        <v>34</v>
      </c>
      <c r="F33" s="153">
        <f>IF(E4&lt;&gt;"",SUM(F10:F32),"")</f>
        <v>10</v>
      </c>
      <c r="G33" s="153" t="str">
        <f>IF(E5&lt;&gt;"",SUM(G10:G32),"")</f>
        <v/>
      </c>
      <c r="H33" s="154">
        <f>SUM(D33:G33)</f>
        <v>83</v>
      </c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spans="1:26" s="146" customFormat="1" ht="12.75" x14ac:dyDescent="0.2">
      <c r="A34" s="144"/>
      <c r="B34" s="148" t="s">
        <v>19</v>
      </c>
      <c r="C34" s="144" t="s">
        <v>20</v>
      </c>
      <c r="D34" s="145">
        <f>IF(E2&lt;&gt;"",I2-D33,"")</f>
        <v>-9</v>
      </c>
      <c r="E34" s="145">
        <f>IF(E3&lt;&gt;"",I2-E33,"")</f>
        <v>-4</v>
      </c>
      <c r="F34" s="142">
        <f>IF(E4&lt;&gt;"",I2-F33,"")</f>
        <v>20</v>
      </c>
      <c r="G34" s="142"/>
      <c r="H34" s="155">
        <f>I3-H33</f>
        <v>7</v>
      </c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spans="1:26" ht="12.7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"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25" t="s">
        <v>113</v>
      </c>
      <c r="B37" s="11"/>
      <c r="C37" s="11"/>
      <c r="D37" s="10" t="s">
        <v>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x14ac:dyDescent="0.2">
      <c r="A38" s="10" t="s">
        <v>13</v>
      </c>
      <c r="B38" s="10" t="s">
        <v>14</v>
      </c>
      <c r="C38" s="10" t="s">
        <v>15</v>
      </c>
      <c r="D38" s="10" t="str">
        <f>E2</f>
        <v>Sam Wagner</v>
      </c>
      <c r="E38" s="10" t="str">
        <f>E3</f>
        <v>Milenko Pekez</v>
      </c>
      <c r="F38" s="10" t="str">
        <f>E4</f>
        <v>Delia Keller</v>
      </c>
      <c r="G38" s="26">
        <f>E5</f>
        <v>0</v>
      </c>
      <c r="H38" s="10" t="s">
        <v>16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51" x14ac:dyDescent="0.2">
      <c r="A39" s="16" t="s">
        <v>79</v>
      </c>
      <c r="B39" s="134" t="s">
        <v>67</v>
      </c>
      <c r="C39" s="136" t="s">
        <v>68</v>
      </c>
      <c r="D39" s="135"/>
      <c r="E39" s="135"/>
      <c r="F39" s="136">
        <v>3</v>
      </c>
      <c r="G39" s="135"/>
      <c r="H39" s="135"/>
      <c r="I39" s="156" t="s">
        <v>112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51" x14ac:dyDescent="0.2">
      <c r="A40" s="16" t="s">
        <v>80</v>
      </c>
      <c r="B40" s="134" t="s">
        <v>62</v>
      </c>
      <c r="C40" s="147" t="s">
        <v>68</v>
      </c>
      <c r="D40" s="135"/>
      <c r="E40" s="135"/>
      <c r="F40" s="135"/>
      <c r="G40" s="135"/>
      <c r="H40" s="135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x14ac:dyDescent="0.2">
      <c r="A41" s="27" t="s">
        <v>81</v>
      </c>
      <c r="B41" s="27" t="s">
        <v>63</v>
      </c>
      <c r="C41" s="10"/>
      <c r="D41" s="28"/>
      <c r="E41" s="28"/>
      <c r="F41" s="28"/>
      <c r="G41" s="2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x14ac:dyDescent="0.2">
      <c r="A42" s="27" t="s">
        <v>82</v>
      </c>
      <c r="B42" s="27" t="s">
        <v>65</v>
      </c>
      <c r="C42" s="11"/>
      <c r="D42" s="28"/>
      <c r="E42" s="28"/>
      <c r="F42" s="28"/>
      <c r="G42" s="2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x14ac:dyDescent="0.2">
      <c r="A43" s="27" t="s">
        <v>84</v>
      </c>
      <c r="B43" s="27" t="s">
        <v>66</v>
      </c>
      <c r="C43" s="11"/>
      <c r="D43" s="28"/>
      <c r="E43" s="28"/>
      <c r="F43" s="28"/>
      <c r="G43" s="2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x14ac:dyDescent="0.2">
      <c r="A44" s="27" t="s">
        <v>83</v>
      </c>
      <c r="B44" s="27" t="s">
        <v>64</v>
      </c>
      <c r="C44" s="11"/>
      <c r="D44" s="28"/>
      <c r="E44" s="28"/>
      <c r="F44" s="28"/>
      <c r="G44" s="2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7" customHeight="1" x14ac:dyDescent="0.2">
      <c r="A45" s="128" t="s">
        <v>85</v>
      </c>
      <c r="B45" s="132" t="s">
        <v>69</v>
      </c>
      <c r="C45" s="137" t="s">
        <v>70</v>
      </c>
      <c r="D45" s="133"/>
      <c r="E45" s="133"/>
      <c r="F45" s="133">
        <v>8</v>
      </c>
      <c r="G45" s="133"/>
      <c r="H45" s="13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51" x14ac:dyDescent="0.2">
      <c r="A46" s="16" t="s">
        <v>86</v>
      </c>
      <c r="B46" s="134" t="s">
        <v>75</v>
      </c>
      <c r="C46" s="139" t="s">
        <v>76</v>
      </c>
      <c r="D46" s="140"/>
      <c r="E46" s="141"/>
      <c r="F46" s="135">
        <v>5</v>
      </c>
      <c r="G46" s="135"/>
      <c r="H46" s="135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s="146" customFormat="1" ht="12.75" x14ac:dyDescent="0.2">
      <c r="A47" s="142" t="s">
        <v>87</v>
      </c>
      <c r="B47" s="142" t="s">
        <v>77</v>
      </c>
      <c r="C47" s="149"/>
      <c r="D47" s="142"/>
      <c r="E47" s="145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spans="1:26" s="146" customFormat="1" ht="12.75" x14ac:dyDescent="0.2">
      <c r="A48" s="142" t="s">
        <v>88</v>
      </c>
      <c r="B48" s="142" t="s">
        <v>78</v>
      </c>
      <c r="C48" s="149"/>
      <c r="D48" s="142"/>
      <c r="E48" s="145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spans="1:26" ht="38.25" x14ac:dyDescent="0.2">
      <c r="A49" s="16" t="s">
        <v>90</v>
      </c>
      <c r="B49" s="134" t="s">
        <v>89</v>
      </c>
      <c r="C49" s="138" t="s">
        <v>92</v>
      </c>
      <c r="D49" s="140"/>
      <c r="E49" s="141"/>
      <c r="F49" s="135"/>
      <c r="G49" s="135"/>
      <c r="H49" s="135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s="146" customFormat="1" ht="12.75" x14ac:dyDescent="0.2">
      <c r="A50" s="142" t="s">
        <v>91</v>
      </c>
      <c r="B50" s="142" t="s">
        <v>93</v>
      </c>
      <c r="C50" s="143"/>
      <c r="D50" s="142"/>
      <c r="E50" s="145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spans="1:26" s="146" customFormat="1" ht="12.75" x14ac:dyDescent="0.2">
      <c r="A51" s="142" t="s">
        <v>96</v>
      </c>
      <c r="B51" s="142" t="s">
        <v>94</v>
      </c>
      <c r="C51" s="143"/>
      <c r="D51" s="142"/>
      <c r="E51" s="145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spans="1:26" s="146" customFormat="1" ht="12.75" x14ac:dyDescent="0.2">
      <c r="A52" s="142" t="s">
        <v>97</v>
      </c>
      <c r="B52" s="142" t="s">
        <v>95</v>
      </c>
      <c r="C52" s="143"/>
      <c r="D52" s="142"/>
      <c r="E52" s="145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38.25" x14ac:dyDescent="0.2">
      <c r="A53" s="128" t="s">
        <v>98</v>
      </c>
      <c r="B53" s="129" t="s">
        <v>71</v>
      </c>
      <c r="C53" s="138" t="s">
        <v>72</v>
      </c>
      <c r="D53" s="130"/>
      <c r="E53" s="130"/>
      <c r="F53" s="131"/>
      <c r="G53" s="131"/>
      <c r="H53" s="13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s="146" customFormat="1" ht="12.75" x14ac:dyDescent="0.2">
      <c r="A54" s="142" t="s">
        <v>99</v>
      </c>
      <c r="B54" s="142" t="s">
        <v>73</v>
      </c>
      <c r="C54" s="143"/>
      <c r="D54" s="144"/>
      <c r="E54" s="144"/>
      <c r="F54" s="145"/>
      <c r="G54" s="145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spans="1:26" s="146" customFormat="1" ht="12.75" x14ac:dyDescent="0.2">
      <c r="A55" s="142" t="s">
        <v>100</v>
      </c>
      <c r="B55" s="142" t="s">
        <v>74</v>
      </c>
      <c r="C55" s="143"/>
      <c r="D55" s="144"/>
      <c r="E55" s="144"/>
      <c r="F55" s="145"/>
      <c r="G55" s="145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spans="1:26" ht="38.25" x14ac:dyDescent="0.2">
      <c r="A56" s="16" t="s">
        <v>101</v>
      </c>
      <c r="B56" s="134" t="s">
        <v>103</v>
      </c>
      <c r="C56" s="150" t="s">
        <v>102</v>
      </c>
      <c r="D56" s="135"/>
      <c r="E56" s="135"/>
      <c r="F56" s="135"/>
      <c r="G56" s="135"/>
      <c r="H56" s="135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x14ac:dyDescent="0.2">
      <c r="A57" s="27" t="s">
        <v>104</v>
      </c>
      <c r="B57" s="142" t="s">
        <v>105</v>
      </c>
      <c r="C57" s="27"/>
      <c r="D57" s="27"/>
      <c r="E57" s="11"/>
      <c r="F57" s="28"/>
      <c r="G57" s="2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x14ac:dyDescent="0.2">
      <c r="A58" s="27" t="s">
        <v>106</v>
      </c>
      <c r="B58" s="142" t="s">
        <v>107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x14ac:dyDescent="0.2">
      <c r="A59" s="27" t="s">
        <v>108</v>
      </c>
      <c r="B59" s="142" t="s">
        <v>109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x14ac:dyDescent="0.2">
      <c r="A60" s="11"/>
      <c r="B60" s="10"/>
      <c r="C60" s="11"/>
      <c r="D60" s="28"/>
      <c r="E60" s="28"/>
      <c r="F60" s="28"/>
      <c r="G60" s="2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x14ac:dyDescent="0.2">
      <c r="A61" s="11"/>
      <c r="B61" s="10"/>
      <c r="C61" s="11"/>
      <c r="D61" s="28"/>
      <c r="E61" s="28"/>
      <c r="F61" s="28"/>
      <c r="G61" s="2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s="146" customFormat="1" ht="12.75" x14ac:dyDescent="0.2">
      <c r="A62" s="151"/>
      <c r="B62" s="152" t="s">
        <v>17</v>
      </c>
      <c r="C62" s="151" t="s">
        <v>21</v>
      </c>
      <c r="D62" s="153">
        <f>IF(E2&lt;&gt;"",SUM(D39:D61),"")</f>
        <v>0</v>
      </c>
      <c r="E62" s="153">
        <f>IF(E3&lt;&gt;"",SUM(E39:E61),"")</f>
        <v>0</v>
      </c>
      <c r="F62" s="153">
        <f>IF(E4&lt;&gt;"",SUM(F39:F61),"")</f>
        <v>16</v>
      </c>
      <c r="G62" s="153" t="str">
        <f>IF(E5&lt;&gt;"",SUM(G39:G61),"")</f>
        <v/>
      </c>
      <c r="H62" s="154">
        <f>SUM(D62:G62)</f>
        <v>16</v>
      </c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spans="1:26" s="146" customFormat="1" ht="12.75" x14ac:dyDescent="0.2">
      <c r="A63" s="144"/>
      <c r="B63" s="148" t="s">
        <v>22</v>
      </c>
      <c r="C63" s="144" t="s">
        <v>23</v>
      </c>
      <c r="D63" s="145">
        <f>IF(E2&lt;&gt;"",I2-D62,"")</f>
        <v>30</v>
      </c>
      <c r="E63" s="145">
        <f>IF(E3&lt;&gt;"",I2-E62,"")</f>
        <v>30</v>
      </c>
      <c r="F63" s="142">
        <f>IF(E4&lt;&gt;"",I2-F62,"")</f>
        <v>14</v>
      </c>
      <c r="G63" s="142" t="str">
        <f>IF(E5&lt;&gt;"",I2-G62,"")</f>
        <v/>
      </c>
      <c r="H63" s="155">
        <f>I3-H62</f>
        <v>74</v>
      </c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spans="1:26" ht="12.75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x14ac:dyDescent="0.2"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x14ac:dyDescent="0.2"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2.75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2.75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2.75" x14ac:dyDescent="0.2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2.75" x14ac:dyDescent="0.2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2.75" x14ac:dyDescent="0.2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2.75" x14ac:dyDescent="0.2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2.75" x14ac:dyDescent="0.2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2.75" x14ac:dyDescent="0.2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2.75" x14ac:dyDescent="0.2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2.75" x14ac:dyDescent="0.2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2.75" x14ac:dyDescent="0.2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2.75" x14ac:dyDescent="0.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2.75" x14ac:dyDescent="0.2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2.75" x14ac:dyDescent="0.2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2.75" x14ac:dyDescent="0.2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2.75" x14ac:dyDescent="0.2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2.75" x14ac:dyDescent="0.2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2.75" x14ac:dyDescent="0.2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2.75" x14ac:dyDescent="0.2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2.75" x14ac:dyDescent="0.2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7"/>
  <sheetViews>
    <sheetView workbookViewId="0">
      <selection activeCell="E4" sqref="E4"/>
    </sheetView>
  </sheetViews>
  <sheetFormatPr baseColWidth="10" defaultColWidth="12.5703125" defaultRowHeight="15.75" customHeight="1" x14ac:dyDescent="0.2"/>
  <cols>
    <col min="1" max="1" width="14.85546875" customWidth="1"/>
  </cols>
  <sheetData>
    <row r="1" spans="1:14" ht="15.75" customHeight="1" x14ac:dyDescent="0.25">
      <c r="A1" s="30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/>
      <c r="M1" s="33"/>
      <c r="N1" s="34"/>
    </row>
    <row r="2" spans="1:14" ht="15.75" customHeight="1" x14ac:dyDescent="0.2">
      <c r="A2" s="35" t="s">
        <v>25</v>
      </c>
      <c r="B2" s="36"/>
      <c r="C2" s="37"/>
      <c r="D2" s="36"/>
      <c r="E2" s="36"/>
      <c r="F2" s="36"/>
      <c r="G2" s="36"/>
      <c r="H2" s="36"/>
      <c r="I2" s="36"/>
      <c r="J2" s="36"/>
      <c r="K2" s="36"/>
      <c r="L2" s="36"/>
      <c r="M2" s="38"/>
    </row>
    <row r="3" spans="1:14" ht="15.75" customHeight="1" x14ac:dyDescent="0.2">
      <c r="A3" s="39" t="s">
        <v>26</v>
      </c>
      <c r="B3" s="40" t="s">
        <v>27</v>
      </c>
      <c r="C3" s="41">
        <v>44673</v>
      </c>
      <c r="D3" s="42" t="s">
        <v>28</v>
      </c>
      <c r="E3" s="43">
        <v>44693</v>
      </c>
      <c r="F3" s="44" t="s">
        <v>29</v>
      </c>
      <c r="G3" s="45">
        <f>ROUND(G4/7,0)+1</f>
        <v>4</v>
      </c>
    </row>
    <row r="4" spans="1:14" ht="15.75" customHeight="1" x14ac:dyDescent="0.2">
      <c r="A4" s="46"/>
      <c r="D4" s="47" t="s">
        <v>30</v>
      </c>
      <c r="E4">
        <f>IF(C3&lt;&gt;"",_xlfn.ISOWEEKNUM(C3),"")</f>
        <v>16</v>
      </c>
      <c r="F4" s="47" t="s">
        <v>31</v>
      </c>
      <c r="G4" s="48">
        <f>E3-C3</f>
        <v>20</v>
      </c>
    </row>
    <row r="5" spans="1:14" ht="15.75" customHeight="1" x14ac:dyDescent="0.2">
      <c r="A5" s="49"/>
      <c r="B5" s="50"/>
      <c r="C5" s="50"/>
      <c r="D5" s="51" t="s">
        <v>32</v>
      </c>
      <c r="E5" s="52">
        <f>IF(C3&lt;&gt;"",YEAR(C3),"")</f>
        <v>2022</v>
      </c>
      <c r="F5" s="50"/>
      <c r="G5" s="53"/>
    </row>
    <row r="7" spans="1:14" ht="15.75" customHeight="1" x14ac:dyDescent="0.2">
      <c r="A7" s="47" t="s">
        <v>33</v>
      </c>
      <c r="B7" s="47" t="s">
        <v>34</v>
      </c>
      <c r="C7" s="54" t="s">
        <v>35</v>
      </c>
      <c r="D7" s="54" t="s">
        <v>36</v>
      </c>
      <c r="E7" s="54" t="s">
        <v>37</v>
      </c>
      <c r="F7" s="54" t="s">
        <v>38</v>
      </c>
      <c r="G7" s="54" t="s">
        <v>39</v>
      </c>
      <c r="H7" s="54" t="s">
        <v>40</v>
      </c>
      <c r="I7" s="54" t="s">
        <v>41</v>
      </c>
      <c r="K7" s="55"/>
      <c r="L7" s="55"/>
      <c r="M7" s="55"/>
      <c r="N7" s="55"/>
    </row>
    <row r="8" spans="1:14" ht="15.75" customHeight="1" x14ac:dyDescent="0.2">
      <c r="A8" s="47">
        <f>E4</f>
        <v>16</v>
      </c>
      <c r="B8" s="56" t="s">
        <v>42</v>
      </c>
      <c r="C8" s="57">
        <f>DATE(E5,1,1)-WEEKDAY(DATE(E5,1,1),2)+1+((A8+IF(WEEKDAY(DATE(E5,1,1),2)&gt;4,0,-1))*7)</f>
        <v>44669</v>
      </c>
      <c r="D8" s="57">
        <f t="shared" ref="D8:I8" si="0">C8+1</f>
        <v>44670</v>
      </c>
      <c r="E8" s="57">
        <f t="shared" si="0"/>
        <v>44671</v>
      </c>
      <c r="F8" s="57">
        <f t="shared" si="0"/>
        <v>44672</v>
      </c>
      <c r="G8" s="57">
        <f t="shared" si="0"/>
        <v>44673</v>
      </c>
      <c r="H8" s="57">
        <f t="shared" si="0"/>
        <v>44674</v>
      </c>
      <c r="I8" s="58">
        <f t="shared" si="0"/>
        <v>44675</v>
      </c>
      <c r="J8" s="47" t="s">
        <v>43</v>
      </c>
      <c r="K8" s="56" t="s">
        <v>44</v>
      </c>
      <c r="L8" s="59"/>
      <c r="M8" s="59"/>
      <c r="N8" s="60"/>
    </row>
    <row r="9" spans="1:14" ht="15.75" customHeight="1" x14ac:dyDescent="0.2">
      <c r="A9" s="61"/>
      <c r="B9" s="62" t="str">
        <f>'SollIst Zeiterfassung'!E2</f>
        <v>Sam Wagner</v>
      </c>
      <c r="C9" s="63"/>
      <c r="D9" s="63"/>
      <c r="E9" s="63"/>
      <c r="F9" s="63"/>
      <c r="G9" s="63"/>
      <c r="H9" s="63"/>
      <c r="I9" s="64"/>
      <c r="J9" s="65">
        <f t="shared" ref="J9:J12" si="1">SUM(C9:I9)</f>
        <v>0</v>
      </c>
      <c r="K9" s="66" t="s">
        <v>1</v>
      </c>
      <c r="L9" s="67"/>
      <c r="M9" s="67"/>
      <c r="N9" s="68"/>
    </row>
    <row r="10" spans="1:14" ht="15.75" customHeight="1" x14ac:dyDescent="0.2">
      <c r="B10" s="62" t="str">
        <f>'SollIst Zeiterfassung'!E3</f>
        <v>Milenko Pekez</v>
      </c>
      <c r="C10" s="63"/>
      <c r="D10" s="63"/>
      <c r="E10" s="63"/>
      <c r="F10" s="63"/>
      <c r="G10" s="63"/>
      <c r="H10" s="63"/>
      <c r="I10" s="64"/>
      <c r="J10" s="65">
        <f t="shared" si="1"/>
        <v>0</v>
      </c>
      <c r="K10" s="66" t="str">
        <f>'SollIst Zeiterfassung'!E2</f>
        <v>Sam Wagner</v>
      </c>
      <c r="L10" s="69" t="str">
        <f>'SollIst Zeiterfassung'!E3</f>
        <v>Milenko Pekez</v>
      </c>
      <c r="M10" s="69" t="str">
        <f>'SollIst Zeiterfassung'!E4</f>
        <v>Delia Keller</v>
      </c>
      <c r="N10" s="70">
        <f>'SollIst Zeiterfassung'!E5</f>
        <v>0</v>
      </c>
    </row>
    <row r="11" spans="1:14" ht="12.75" x14ac:dyDescent="0.2">
      <c r="B11" s="62" t="str">
        <f>'SollIst Zeiterfassung'!E4</f>
        <v>Delia Keller</v>
      </c>
      <c r="C11" s="63"/>
      <c r="D11" s="63"/>
      <c r="E11" s="63"/>
      <c r="F11" s="63"/>
      <c r="G11" s="63"/>
      <c r="H11" s="63"/>
      <c r="I11" s="64"/>
      <c r="J11" s="65">
        <f t="shared" si="1"/>
        <v>0</v>
      </c>
      <c r="K11" s="71">
        <f>IF(K10&lt;&gt;"",SUM(J9,J15,J21,J27),"")</f>
        <v>0</v>
      </c>
      <c r="L11" s="72">
        <f>IF(L10&lt;&gt;"",SUM(J10,J16,J22,J28),"")</f>
        <v>0</v>
      </c>
      <c r="M11" s="72">
        <f>IF(M10&lt;&gt;"",SUM(J11,J17,J23,J29),"")</f>
        <v>0</v>
      </c>
      <c r="N11" s="73">
        <f>IF(N10&lt;&gt;"",SUM(J12,J18,J24,J30),"")</f>
        <v>0</v>
      </c>
    </row>
    <row r="12" spans="1:14" ht="12.75" x14ac:dyDescent="0.2">
      <c r="B12" s="62">
        <f>'SollIst Zeiterfassung'!E5</f>
        <v>0</v>
      </c>
      <c r="C12" s="74"/>
      <c r="D12" s="74"/>
      <c r="E12" s="74"/>
      <c r="F12" s="74"/>
      <c r="G12" s="74"/>
      <c r="H12" s="74"/>
      <c r="I12" s="75"/>
      <c r="J12" s="65">
        <f t="shared" si="1"/>
        <v>0</v>
      </c>
    </row>
    <row r="13" spans="1:14" ht="15.75" customHeight="1" x14ac:dyDescent="0.2">
      <c r="A13" s="55"/>
      <c r="B13" s="76" t="s">
        <v>45</v>
      </c>
      <c r="C13" s="77">
        <f t="shared" ref="C13:J13" si="2">SUM(C9:C12)</f>
        <v>0</v>
      </c>
      <c r="D13" s="77">
        <f t="shared" si="2"/>
        <v>0</v>
      </c>
      <c r="E13" s="77">
        <f t="shared" si="2"/>
        <v>0</v>
      </c>
      <c r="F13" s="77">
        <f t="shared" si="2"/>
        <v>0</v>
      </c>
      <c r="G13" s="77">
        <f t="shared" si="2"/>
        <v>0</v>
      </c>
      <c r="H13" s="77">
        <f t="shared" si="2"/>
        <v>0</v>
      </c>
      <c r="I13" s="78">
        <f t="shared" si="2"/>
        <v>0</v>
      </c>
      <c r="J13" s="79">
        <f t="shared" si="2"/>
        <v>0</v>
      </c>
    </row>
    <row r="14" spans="1:14" ht="15.75" customHeight="1" x14ac:dyDescent="0.2">
      <c r="A14" s="47">
        <f>IF(G3&gt;=2,E4+1,"")</f>
        <v>17</v>
      </c>
      <c r="B14" s="56" t="s">
        <v>46</v>
      </c>
      <c r="C14" s="57">
        <f>DATE(E5,1,1)-WEEKDAY(DATE(E5,1,1),2)+1+((A14+IF(WEEKDAY(DATE(E5,1,1),2)&gt;4,0,-1))*7)</f>
        <v>44676</v>
      </c>
      <c r="D14" s="57">
        <f t="shared" ref="D14:I14" si="3">C14+1</f>
        <v>44677</v>
      </c>
      <c r="E14" s="57">
        <f t="shared" si="3"/>
        <v>44678</v>
      </c>
      <c r="F14" s="57">
        <f t="shared" si="3"/>
        <v>44679</v>
      </c>
      <c r="G14" s="57">
        <f t="shared" si="3"/>
        <v>44680</v>
      </c>
      <c r="H14" s="57">
        <f t="shared" si="3"/>
        <v>44681</v>
      </c>
      <c r="I14" s="58">
        <f t="shared" si="3"/>
        <v>44682</v>
      </c>
      <c r="J14" s="65"/>
    </row>
    <row r="15" spans="1:14" ht="12.75" x14ac:dyDescent="0.2">
      <c r="B15" s="62" t="str">
        <f>'SollIst Zeiterfassung'!E2</f>
        <v>Sam Wagner</v>
      </c>
      <c r="C15" s="63"/>
      <c r="D15" s="63"/>
      <c r="E15" s="74"/>
      <c r="F15" s="63"/>
      <c r="G15" s="63"/>
      <c r="H15" s="63"/>
      <c r="I15" s="64"/>
      <c r="J15" s="65">
        <f t="shared" ref="J15:J18" si="4">SUM(C15:I15)</f>
        <v>0</v>
      </c>
    </row>
    <row r="16" spans="1:14" ht="12.75" x14ac:dyDescent="0.2">
      <c r="B16" s="62" t="str">
        <f>'SollIst Zeiterfassung'!E3</f>
        <v>Milenko Pekez</v>
      </c>
      <c r="C16" s="74"/>
      <c r="D16" s="63"/>
      <c r="E16" s="63"/>
      <c r="F16" s="63"/>
      <c r="G16" s="74"/>
      <c r="H16" s="63"/>
      <c r="I16" s="64"/>
      <c r="J16" s="65">
        <f t="shared" si="4"/>
        <v>0</v>
      </c>
    </row>
    <row r="17" spans="1:14" ht="12.75" x14ac:dyDescent="0.2">
      <c r="B17" s="62" t="str">
        <f>'SollIst Zeiterfassung'!E4</f>
        <v>Delia Keller</v>
      </c>
      <c r="C17" s="63"/>
      <c r="D17" s="74"/>
      <c r="E17" s="63"/>
      <c r="F17" s="74"/>
      <c r="G17" s="63"/>
      <c r="H17" s="74"/>
      <c r="I17" s="75"/>
      <c r="J17" s="65">
        <f t="shared" si="4"/>
        <v>0</v>
      </c>
    </row>
    <row r="18" spans="1:14" ht="12.75" x14ac:dyDescent="0.2">
      <c r="B18" s="62">
        <f>'SollIst Zeiterfassung'!E5</f>
        <v>0</v>
      </c>
      <c r="C18" s="74"/>
      <c r="D18" s="74"/>
      <c r="E18" s="74"/>
      <c r="F18" s="74"/>
      <c r="G18" s="74"/>
      <c r="H18" s="74"/>
      <c r="I18" s="75"/>
      <c r="J18" s="65">
        <f t="shared" si="4"/>
        <v>0</v>
      </c>
      <c r="K18" s="55"/>
      <c r="L18" s="55"/>
      <c r="M18" s="55"/>
      <c r="N18" s="55"/>
    </row>
    <row r="19" spans="1:14" ht="15.75" customHeight="1" x14ac:dyDescent="0.2">
      <c r="A19" s="55"/>
      <c r="B19" s="80" t="s">
        <v>45</v>
      </c>
      <c r="C19" s="81">
        <f t="shared" ref="C19:J19" si="5">SUM(C15:C18)</f>
        <v>0</v>
      </c>
      <c r="D19" s="81">
        <f t="shared" si="5"/>
        <v>0</v>
      </c>
      <c r="E19" s="81">
        <f t="shared" si="5"/>
        <v>0</v>
      </c>
      <c r="F19" s="81">
        <f t="shared" si="5"/>
        <v>0</v>
      </c>
      <c r="G19" s="81">
        <f t="shared" si="5"/>
        <v>0</v>
      </c>
      <c r="H19" s="81">
        <f t="shared" si="5"/>
        <v>0</v>
      </c>
      <c r="I19" s="82">
        <f t="shared" si="5"/>
        <v>0</v>
      </c>
      <c r="J19" s="79">
        <f t="shared" si="5"/>
        <v>0</v>
      </c>
    </row>
    <row r="20" spans="1:14" ht="15.75" customHeight="1" x14ac:dyDescent="0.2">
      <c r="A20" s="47">
        <f>IF(G3&gt;=3,E4+2,"")</f>
        <v>18</v>
      </c>
      <c r="B20" s="66" t="s">
        <v>47</v>
      </c>
      <c r="C20" s="57">
        <f>DATE(E5,1,1)-WEEKDAY(DATE(E5,1,1),2)+1+((A20+IF(WEEKDAY(DATE(E5,1,1),2)&gt;4,0,-1))*7)</f>
        <v>44683</v>
      </c>
      <c r="D20" s="57">
        <f t="shared" ref="D20:I20" si="6">C20+1</f>
        <v>44684</v>
      </c>
      <c r="E20" s="57">
        <f t="shared" si="6"/>
        <v>44685</v>
      </c>
      <c r="F20" s="57">
        <f t="shared" si="6"/>
        <v>44686</v>
      </c>
      <c r="G20" s="57">
        <f t="shared" si="6"/>
        <v>44687</v>
      </c>
      <c r="H20" s="57">
        <f t="shared" si="6"/>
        <v>44688</v>
      </c>
      <c r="I20" s="58">
        <f t="shared" si="6"/>
        <v>44689</v>
      </c>
      <c r="J20" s="65"/>
    </row>
    <row r="21" spans="1:14" ht="12.75" x14ac:dyDescent="0.2">
      <c r="B21" s="62" t="str">
        <f>'SollIst Zeiterfassung'!E2</f>
        <v>Sam Wagner</v>
      </c>
      <c r="C21" s="63"/>
      <c r="D21" s="63"/>
      <c r="E21" s="63"/>
      <c r="F21" s="63"/>
      <c r="G21" s="74"/>
      <c r="H21" s="74"/>
      <c r="I21" s="75"/>
      <c r="J21" s="65">
        <f t="shared" ref="J21:J24" si="7">SUM(C21:I21)</f>
        <v>0</v>
      </c>
    </row>
    <row r="22" spans="1:14" ht="15.75" customHeight="1" x14ac:dyDescent="0.2">
      <c r="B22" s="62" t="str">
        <f>'SollIst Zeiterfassung'!E3</f>
        <v>Milenko Pekez</v>
      </c>
      <c r="C22" s="63"/>
      <c r="D22" s="63"/>
      <c r="E22" s="63"/>
      <c r="F22" s="63"/>
      <c r="G22" s="74"/>
      <c r="H22" s="83"/>
      <c r="I22" s="75"/>
      <c r="J22" s="65">
        <f t="shared" si="7"/>
        <v>0</v>
      </c>
    </row>
    <row r="23" spans="1:14" ht="12.75" x14ac:dyDescent="0.2">
      <c r="B23" s="62" t="str">
        <f>'SollIst Zeiterfassung'!E4</f>
        <v>Delia Keller</v>
      </c>
      <c r="C23" s="74"/>
      <c r="D23" s="63"/>
      <c r="E23" s="63"/>
      <c r="F23" s="63"/>
      <c r="G23" s="74"/>
      <c r="H23" s="74"/>
      <c r="I23" s="75"/>
      <c r="J23" s="65">
        <f t="shared" si="7"/>
        <v>0</v>
      </c>
    </row>
    <row r="24" spans="1:14" ht="12.75" x14ac:dyDescent="0.2">
      <c r="B24" s="62">
        <f>'SollIst Zeiterfassung'!E5</f>
        <v>0</v>
      </c>
      <c r="C24" s="74"/>
      <c r="D24" s="74"/>
      <c r="E24" s="74"/>
      <c r="F24" s="74"/>
      <c r="G24" s="74"/>
      <c r="H24" s="74"/>
      <c r="I24" s="75"/>
      <c r="J24" s="65">
        <f t="shared" si="7"/>
        <v>0</v>
      </c>
    </row>
    <row r="25" spans="1:14" ht="15.75" customHeight="1" x14ac:dyDescent="0.2">
      <c r="A25" s="55"/>
      <c r="B25" s="76" t="s">
        <v>45</v>
      </c>
      <c r="C25" s="84">
        <f t="shared" ref="C25:J25" si="8">SUM(C21:C24)</f>
        <v>0</v>
      </c>
      <c r="D25" s="84">
        <f t="shared" si="8"/>
        <v>0</v>
      </c>
      <c r="E25" s="84">
        <f t="shared" si="8"/>
        <v>0</v>
      </c>
      <c r="F25" s="84">
        <f t="shared" si="8"/>
        <v>0</v>
      </c>
      <c r="G25" s="84">
        <f t="shared" si="8"/>
        <v>0</v>
      </c>
      <c r="H25" s="84">
        <f t="shared" si="8"/>
        <v>0</v>
      </c>
      <c r="I25" s="85">
        <f t="shared" si="8"/>
        <v>0</v>
      </c>
      <c r="J25" s="79">
        <f t="shared" si="8"/>
        <v>0</v>
      </c>
    </row>
    <row r="26" spans="1:14" ht="15.75" customHeight="1" x14ac:dyDescent="0.2">
      <c r="A26" s="47">
        <f>IF(G3&gt;3,E4+3,"")</f>
        <v>19</v>
      </c>
      <c r="B26" s="56" t="s">
        <v>48</v>
      </c>
      <c r="C26" s="57">
        <f>DATE(E5,1,1)-WEEKDAY(DATE(E5,1,1),2)+1+((A26+IF(WEEKDAY(DATE(E5,1,1),2)&gt;4,0,-1))*7)</f>
        <v>44690</v>
      </c>
      <c r="D26" s="57">
        <f t="shared" ref="D26:I26" si="9">C26+1</f>
        <v>44691</v>
      </c>
      <c r="E26" s="57">
        <f t="shared" si="9"/>
        <v>44692</v>
      </c>
      <c r="F26" s="57">
        <f t="shared" si="9"/>
        <v>44693</v>
      </c>
      <c r="G26" s="57">
        <f t="shared" si="9"/>
        <v>44694</v>
      </c>
      <c r="H26" s="57">
        <f t="shared" si="9"/>
        <v>44695</v>
      </c>
      <c r="I26" s="58">
        <f t="shared" si="9"/>
        <v>44696</v>
      </c>
      <c r="J26" s="65"/>
    </row>
    <row r="27" spans="1:14" ht="12.75" x14ac:dyDescent="0.2">
      <c r="B27" s="62" t="str">
        <f>'SollIst Zeiterfassung'!E2</f>
        <v>Sam Wagner</v>
      </c>
      <c r="C27" s="63"/>
      <c r="D27" s="63"/>
      <c r="E27" s="63"/>
      <c r="F27" s="63"/>
      <c r="G27" s="74"/>
      <c r="H27" s="74"/>
      <c r="I27" s="75"/>
      <c r="J27" s="65">
        <f t="shared" ref="J27:J30" si="10">SUM(C27:I27)</f>
        <v>0</v>
      </c>
    </row>
    <row r="28" spans="1:14" ht="15.75" customHeight="1" x14ac:dyDescent="0.2">
      <c r="B28" s="62" t="str">
        <f>'SollIst Zeiterfassung'!E3</f>
        <v>Milenko Pekez</v>
      </c>
      <c r="C28" s="63"/>
      <c r="D28" s="63"/>
      <c r="E28" s="63"/>
      <c r="F28" s="63"/>
      <c r="G28" s="74"/>
      <c r="H28" s="83"/>
      <c r="I28" s="75"/>
      <c r="J28" s="65">
        <f t="shared" si="10"/>
        <v>0</v>
      </c>
      <c r="K28" s="55"/>
      <c r="L28" s="55"/>
      <c r="M28" s="55"/>
      <c r="N28" s="55"/>
    </row>
    <row r="29" spans="1:14" ht="12.75" x14ac:dyDescent="0.2">
      <c r="B29" s="62" t="str">
        <f>'SollIst Zeiterfassung'!E4</f>
        <v>Delia Keller</v>
      </c>
      <c r="C29" s="74"/>
      <c r="D29" s="63"/>
      <c r="E29" s="63"/>
      <c r="F29" s="63"/>
      <c r="G29" s="74"/>
      <c r="H29" s="74"/>
      <c r="I29" s="75"/>
      <c r="J29" s="65">
        <f t="shared" si="10"/>
        <v>0</v>
      </c>
      <c r="K29" s="55"/>
      <c r="L29" s="55"/>
      <c r="M29" s="55"/>
      <c r="N29" s="55"/>
    </row>
    <row r="30" spans="1:14" ht="12.75" x14ac:dyDescent="0.2">
      <c r="B30" s="86">
        <f>'SollIst Zeiterfassung'!E5</f>
        <v>0</v>
      </c>
      <c r="C30" s="87"/>
      <c r="D30" s="87"/>
      <c r="E30" s="87"/>
      <c r="F30" s="87"/>
      <c r="G30" s="87"/>
      <c r="H30" s="87"/>
      <c r="I30" s="88"/>
      <c r="J30" s="65">
        <f t="shared" si="10"/>
        <v>0</v>
      </c>
      <c r="K30" s="55"/>
      <c r="L30" s="55"/>
      <c r="M30" s="55"/>
      <c r="N30" s="55"/>
    </row>
    <row r="31" spans="1:14" ht="12.75" x14ac:dyDescent="0.2">
      <c r="A31" s="55"/>
      <c r="B31" s="80" t="s">
        <v>45</v>
      </c>
      <c r="C31" s="84">
        <f t="shared" ref="C31:J31" si="11">SUM(C27:C30)</f>
        <v>0</v>
      </c>
      <c r="D31" s="84">
        <f t="shared" si="11"/>
        <v>0</v>
      </c>
      <c r="E31" s="84">
        <f t="shared" si="11"/>
        <v>0</v>
      </c>
      <c r="F31" s="84">
        <f t="shared" si="11"/>
        <v>0</v>
      </c>
      <c r="G31" s="84">
        <f t="shared" si="11"/>
        <v>0</v>
      </c>
      <c r="H31" s="84">
        <f t="shared" si="11"/>
        <v>0</v>
      </c>
      <c r="I31" s="85">
        <f t="shared" si="11"/>
        <v>0</v>
      </c>
      <c r="J31" s="79">
        <f t="shared" si="11"/>
        <v>0</v>
      </c>
      <c r="K31" s="55"/>
      <c r="L31" s="55"/>
      <c r="M31" s="55"/>
      <c r="N31" s="55"/>
    </row>
    <row r="32" spans="1:14" ht="12.75" x14ac:dyDescent="0.2"/>
    <row r="34" ht="12.75" x14ac:dyDescent="0.2"/>
    <row r="35" ht="12.75" x14ac:dyDescent="0.2"/>
    <row r="36" ht="12.75" x14ac:dyDescent="0.2"/>
    <row r="37" ht="12.75" x14ac:dyDescent="0.2"/>
  </sheetData>
  <conditionalFormatting sqref="C8:I8 C14:I14 C20:I20 C26:I26">
    <cfRule type="cellIs" dxfId="3" priority="3" operator="between">
      <formula>$C$3</formula>
      <formula>$E$3</formula>
    </cfRule>
  </conditionalFormatting>
  <conditionalFormatting sqref="J1:J1000">
    <cfRule type="cellIs" dxfId="2" priority="4" operator="equal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28"/>
  <sheetViews>
    <sheetView workbookViewId="0">
      <selection activeCell="C2" sqref="C2"/>
    </sheetView>
  </sheetViews>
  <sheetFormatPr baseColWidth="10" defaultColWidth="12.5703125" defaultRowHeight="15.75" customHeight="1" x14ac:dyDescent="0.2"/>
  <cols>
    <col min="2" max="2" width="21.42578125" customWidth="1"/>
  </cols>
  <sheetData>
    <row r="1" spans="1:31" ht="15.75" customHeight="1" x14ac:dyDescent="0.25">
      <c r="A1" s="30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89"/>
      <c r="R1" s="89"/>
      <c r="S1" s="89"/>
      <c r="T1" s="89"/>
      <c r="U1" s="89"/>
      <c r="V1" s="31"/>
      <c r="W1" s="31"/>
      <c r="X1" s="31"/>
      <c r="Y1" s="31"/>
      <c r="Z1" s="31"/>
      <c r="AA1" s="31"/>
      <c r="AB1" s="31"/>
      <c r="AC1" s="31"/>
      <c r="AD1" s="31"/>
      <c r="AE1" s="32"/>
    </row>
    <row r="2" spans="1:31" ht="15.75" customHeight="1" x14ac:dyDescent="0.2">
      <c r="A2" s="90" t="s">
        <v>50</v>
      </c>
      <c r="B2" s="91" t="s">
        <v>51</v>
      </c>
      <c r="C2" s="92">
        <f>'wöchentliche Zeitplanung'!G4</f>
        <v>20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8"/>
      <c r="R2" s="8"/>
      <c r="S2" s="8"/>
      <c r="T2" s="8"/>
      <c r="U2" s="8"/>
      <c r="V2" s="37"/>
      <c r="W2" s="37"/>
      <c r="X2" s="37"/>
      <c r="Y2" s="37"/>
      <c r="Z2" s="37"/>
      <c r="AA2" s="37"/>
      <c r="AB2" s="37"/>
      <c r="AC2" s="37"/>
      <c r="AD2" s="37"/>
      <c r="AE2" s="94"/>
    </row>
    <row r="3" spans="1:31" ht="15.75" customHeight="1" x14ac:dyDescent="0.2">
      <c r="A3" s="95"/>
      <c r="B3" s="96" t="s">
        <v>52</v>
      </c>
      <c r="C3" s="97">
        <f>'SollIst Zeiterfassung'!I3</f>
        <v>90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13"/>
      <c r="R3" s="13"/>
      <c r="S3" s="13"/>
      <c r="T3" s="13"/>
      <c r="U3" s="13"/>
      <c r="V3" s="99"/>
      <c r="W3" s="99"/>
      <c r="X3" s="99"/>
      <c r="Y3" s="99"/>
      <c r="Z3" s="99"/>
      <c r="AA3" s="99"/>
      <c r="AB3" s="99"/>
      <c r="AC3" s="99"/>
      <c r="AD3" s="99"/>
      <c r="AE3" s="100"/>
    </row>
    <row r="4" spans="1:31" ht="15.75" customHeight="1" x14ac:dyDescent="0.2">
      <c r="A4" s="101"/>
      <c r="B4" s="102" t="s">
        <v>53</v>
      </c>
      <c r="C4" s="103">
        <f>C3/C2</f>
        <v>4.5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20"/>
      <c r="R4" s="20"/>
      <c r="S4" s="20"/>
      <c r="T4" s="20"/>
      <c r="U4" s="20"/>
      <c r="V4" s="105"/>
      <c r="W4" s="105"/>
      <c r="X4" s="105"/>
      <c r="Y4" s="105"/>
      <c r="Z4" s="105"/>
      <c r="AA4" s="105"/>
      <c r="AB4" s="105"/>
      <c r="AC4" s="105"/>
      <c r="AD4" s="105"/>
      <c r="AE4" s="106"/>
    </row>
    <row r="5" spans="1:31" ht="15.75" customHeight="1" x14ac:dyDescent="0.2">
      <c r="A5" s="107"/>
      <c r="B5" s="96" t="s">
        <v>54</v>
      </c>
      <c r="C5" s="108">
        <v>1</v>
      </c>
      <c r="D5" s="108">
        <f>IF(AND(C5+1&lt;='wöchentliche Zeitplanung'!G4, C5&lt;&gt;""),C5+1,"")</f>
        <v>2</v>
      </c>
      <c r="E5" s="108">
        <f>IF(AND(D5+1&lt;='wöchentliche Zeitplanung'!G4, D5&lt;&gt;""),D5+1,"")</f>
        <v>3</v>
      </c>
      <c r="F5" s="108">
        <f>IF(AND(E5+1&lt;='wöchentliche Zeitplanung'!G4, E5&lt;&gt;""),E5+1,"")</f>
        <v>4</v>
      </c>
      <c r="G5" s="108">
        <f>IF(AND(F5+1&lt;='wöchentliche Zeitplanung'!G4, F5&lt;&gt;""),F5+1,"")</f>
        <v>5</v>
      </c>
      <c r="H5" s="108">
        <f>IF(AND(G5+1&lt;='wöchentliche Zeitplanung'!G4, G5&lt;&gt;""),G5+1,"")</f>
        <v>6</v>
      </c>
      <c r="I5" s="108">
        <f>IF(AND(H5+1&lt;='wöchentliche Zeitplanung'!G4, H5&lt;&gt;""),H5+1,"")</f>
        <v>7</v>
      </c>
      <c r="J5" s="108">
        <f>IF(AND(I5+1&lt;='wöchentliche Zeitplanung'!G4, I5&lt;&gt;""),I5+1,"")</f>
        <v>8</v>
      </c>
      <c r="K5" s="108">
        <f>IF(AND(J5+1&lt;='wöchentliche Zeitplanung'!G4, J5&lt;&gt;""),J5+1,"")</f>
        <v>9</v>
      </c>
      <c r="L5" s="108">
        <f>IF(AND(K5+1&lt;='wöchentliche Zeitplanung'!G4, K5&lt;&gt;""),K5+1,"")</f>
        <v>10</v>
      </c>
      <c r="M5" s="108">
        <f>IF(AND(L5+1&lt;='wöchentliche Zeitplanung'!G4, L5&lt;&gt;""),L5+1,"")</f>
        <v>11</v>
      </c>
      <c r="N5" s="108">
        <f>IF(AND(M5+1&lt;='wöchentliche Zeitplanung'!G4, M5&lt;&gt;""),M5+1,"")</f>
        <v>12</v>
      </c>
      <c r="O5" s="108">
        <f>IF(AND(N5+1&lt;='wöchentliche Zeitplanung'!G4, N5&lt;&gt;""),N5+1,"")</f>
        <v>13</v>
      </c>
      <c r="P5" s="108">
        <f>IF(AND(O5+1&lt;='wöchentliche Zeitplanung'!G4, O5&lt;&gt;""),O5+1,"")</f>
        <v>14</v>
      </c>
      <c r="Q5" s="109">
        <f>IF(AND(P5+1&lt;='wöchentliche Zeitplanung'!G4, P5&lt;&gt;""),P5+1,"")</f>
        <v>15</v>
      </c>
      <c r="R5" s="109">
        <f>IF(AND(Q5+1&lt;='wöchentliche Zeitplanung'!G4, Q5&lt;&gt;""),Q5+1,"")</f>
        <v>16</v>
      </c>
      <c r="S5" s="109">
        <f>IF(AND(R5+1&lt;='wöchentliche Zeitplanung'!G4, R5&lt;&gt;""),R5+1,"")</f>
        <v>17</v>
      </c>
      <c r="T5" s="109">
        <f>IF(AND(S5+1&lt;='wöchentliche Zeitplanung'!G4, S5&lt;&gt;""),S5+1,"")</f>
        <v>18</v>
      </c>
      <c r="U5" s="109">
        <f>IF(AND(T5+1&lt;='wöchentliche Zeitplanung'!G4, T5&lt;&gt;""),T5+1,"")</f>
        <v>19</v>
      </c>
      <c r="V5" s="109">
        <f>IF(AND(U5+1&lt;='wöchentliche Zeitplanung'!G4, U5&lt;&gt;""),U5+1,"")</f>
        <v>20</v>
      </c>
      <c r="W5" s="109" t="str">
        <f>IF(AND(V5+1&lt;='wöchentliche Zeitplanung'!G4, V5&lt;&gt;""),V5+1,"")</f>
        <v/>
      </c>
      <c r="X5" s="109" t="e">
        <f>IF(AND(W5+1&lt;='wöchentliche Zeitplanung'!G4, W5&lt;&gt;""),W5+1,"")</f>
        <v>#VALUE!</v>
      </c>
      <c r="Y5" s="109" t="e">
        <f>IF(AND(X5+1&lt;='wöchentliche Zeitplanung'!G4, X5&lt;&gt;""),X5+1,"")</f>
        <v>#VALUE!</v>
      </c>
      <c r="Z5" s="109" t="e">
        <f>IF(AND(Y5+1&lt;='wöchentliche Zeitplanung'!G4, Y5&lt;&gt;""),Y5+1,"")</f>
        <v>#VALUE!</v>
      </c>
      <c r="AA5" s="109" t="e">
        <f>IF(AND(Z5+1&lt;='wöchentliche Zeitplanung'!G4, Z5&lt;&gt;""),Z5+1,"")</f>
        <v>#VALUE!</v>
      </c>
      <c r="AB5" s="109" t="e">
        <f>IF(AND(AA5+1&lt;='wöchentliche Zeitplanung'!G4, AA5&lt;&gt;""),AA5+1,"")</f>
        <v>#VALUE!</v>
      </c>
      <c r="AC5" s="109" t="e">
        <f>IF(AND(AB5+1&lt;='wöchentliche Zeitplanung'!G4, AB5&lt;&gt;""),AB5+1,"")</f>
        <v>#VALUE!</v>
      </c>
      <c r="AD5" s="109" t="e">
        <f>IF(AND(AC5+1&lt;='wöchentliche Zeitplanung'!G4, AC5&lt;&gt;""),AC5+1,"")</f>
        <v>#VALUE!</v>
      </c>
      <c r="AE5" s="110" t="e">
        <f>IF(AND(AD5+1&lt;='wöchentliche Zeitplanung'!G4, AD5&lt;&gt;""),AD5+1,"")</f>
        <v>#VALUE!</v>
      </c>
    </row>
    <row r="6" spans="1:31" ht="15.75" customHeight="1" x14ac:dyDescent="0.2">
      <c r="A6" s="95"/>
      <c r="B6" s="96" t="s">
        <v>55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2"/>
      <c r="R6" s="112"/>
      <c r="S6" s="112"/>
      <c r="T6" s="112"/>
      <c r="U6" s="112"/>
      <c r="AE6" s="113"/>
    </row>
    <row r="7" spans="1:31" ht="15.75" customHeight="1" x14ac:dyDescent="0.2">
      <c r="A7" s="95"/>
      <c r="B7" s="96" t="s">
        <v>56</v>
      </c>
      <c r="C7" s="114">
        <f>C3-C6</f>
        <v>90</v>
      </c>
      <c r="D7" s="114">
        <f t="shared" ref="D7:AE7" si="0">IF(D5&lt;&gt;"",C7-D6,"")</f>
        <v>90</v>
      </c>
      <c r="E7" s="114">
        <f t="shared" si="0"/>
        <v>90</v>
      </c>
      <c r="F7" s="114">
        <f t="shared" si="0"/>
        <v>90</v>
      </c>
      <c r="G7" s="114">
        <f t="shared" si="0"/>
        <v>90</v>
      </c>
      <c r="H7" s="114">
        <f t="shared" si="0"/>
        <v>90</v>
      </c>
      <c r="I7" s="114">
        <f t="shared" si="0"/>
        <v>90</v>
      </c>
      <c r="J7" s="114">
        <f t="shared" si="0"/>
        <v>90</v>
      </c>
      <c r="K7" s="114">
        <f t="shared" si="0"/>
        <v>90</v>
      </c>
      <c r="L7" s="114">
        <f t="shared" si="0"/>
        <v>90</v>
      </c>
      <c r="M7" s="114">
        <f t="shared" si="0"/>
        <v>90</v>
      </c>
      <c r="N7" s="114">
        <f t="shared" si="0"/>
        <v>90</v>
      </c>
      <c r="O7" s="114">
        <f t="shared" si="0"/>
        <v>90</v>
      </c>
      <c r="P7" s="114">
        <f t="shared" si="0"/>
        <v>90</v>
      </c>
      <c r="Q7" s="115">
        <f t="shared" si="0"/>
        <v>90</v>
      </c>
      <c r="R7" s="115">
        <f t="shared" si="0"/>
        <v>90</v>
      </c>
      <c r="S7" s="115">
        <f t="shared" si="0"/>
        <v>90</v>
      </c>
      <c r="T7" s="115">
        <f t="shared" si="0"/>
        <v>90</v>
      </c>
      <c r="U7" s="115">
        <f t="shared" si="0"/>
        <v>90</v>
      </c>
      <c r="V7" s="115">
        <f t="shared" si="0"/>
        <v>90</v>
      </c>
      <c r="W7" s="112" t="str">
        <f t="shared" si="0"/>
        <v/>
      </c>
      <c r="X7" s="112" t="e">
        <f t="shared" si="0"/>
        <v>#VALUE!</v>
      </c>
      <c r="Y7" s="112" t="e">
        <f t="shared" si="0"/>
        <v>#VALUE!</v>
      </c>
      <c r="Z7" s="112" t="e">
        <f t="shared" si="0"/>
        <v>#VALUE!</v>
      </c>
      <c r="AA7" s="112" t="e">
        <f t="shared" si="0"/>
        <v>#VALUE!</v>
      </c>
      <c r="AB7" s="112" t="e">
        <f t="shared" si="0"/>
        <v>#VALUE!</v>
      </c>
      <c r="AC7" s="112" t="e">
        <f t="shared" si="0"/>
        <v>#VALUE!</v>
      </c>
      <c r="AD7" s="112" t="e">
        <f t="shared" si="0"/>
        <v>#VALUE!</v>
      </c>
      <c r="AE7" s="116" t="e">
        <f t="shared" si="0"/>
        <v>#VALUE!</v>
      </c>
    </row>
    <row r="8" spans="1:31" ht="15.75" customHeight="1" x14ac:dyDescent="0.2">
      <c r="A8" s="117"/>
      <c r="B8" s="118" t="s">
        <v>57</v>
      </c>
      <c r="C8" s="119">
        <f>IF(C5&lt;&gt;"",C3-C4,"")</f>
        <v>85.5</v>
      </c>
      <c r="D8" s="119">
        <f>IF(D5&lt;&gt;"",C8-C4,"")</f>
        <v>81</v>
      </c>
      <c r="E8" s="119">
        <f>IF(E5&lt;&gt;"",D8-C4,"")</f>
        <v>76.5</v>
      </c>
      <c r="F8" s="119">
        <f>IF(F5&lt;&gt;"",E8-C4,"")</f>
        <v>72</v>
      </c>
      <c r="G8" s="119">
        <f>IF(G5&lt;&gt;"",F8-C4,"")</f>
        <v>67.5</v>
      </c>
      <c r="H8" s="119">
        <f>IF(H5&lt;&gt;"",G8-C4,"")</f>
        <v>63</v>
      </c>
      <c r="I8" s="119">
        <f>IF(I5&lt;&gt;"",H8-C4,"")</f>
        <v>58.5</v>
      </c>
      <c r="J8" s="119">
        <f>IF(J5&lt;&gt;"",I8-C4,"")</f>
        <v>54</v>
      </c>
      <c r="K8" s="119">
        <f>IF(K5&lt;&gt;"",J8-C4,"")</f>
        <v>49.5</v>
      </c>
      <c r="L8" s="119">
        <f>IF(L5&lt;&gt;"",K8-C4,"")</f>
        <v>45</v>
      </c>
      <c r="M8" s="119">
        <f>IF(M5&lt;&gt;"",L8-C4,"")</f>
        <v>40.5</v>
      </c>
      <c r="N8" s="119">
        <f>IF(N5&lt;&gt;"",M8-C4,"")</f>
        <v>36</v>
      </c>
      <c r="O8" s="119">
        <f>IF(O5&lt;&gt;"",N8-C4,"")</f>
        <v>31.5</v>
      </c>
      <c r="P8" s="119">
        <f>IF(P5&lt;&gt;"",O8-C4,"")</f>
        <v>27</v>
      </c>
      <c r="Q8" s="120">
        <f>IF(Q5&lt;&gt;"",P8-C4,"")</f>
        <v>22.5</v>
      </c>
      <c r="R8" s="120">
        <f>IF(R5&lt;&gt;"",Q8-C4,"")</f>
        <v>18</v>
      </c>
      <c r="S8" s="120">
        <f>IF(S5&lt;&gt;"",R8-C4,"")</f>
        <v>13.5</v>
      </c>
      <c r="T8" s="120">
        <f>IF(T5&lt;&gt;"",S8-C4,"")</f>
        <v>9</v>
      </c>
      <c r="U8" s="120">
        <f>IF(U5&lt;&gt;"",T8-C4,"")</f>
        <v>4.5</v>
      </c>
      <c r="V8" s="120">
        <f>IF(V5&lt;&gt;"",U8-C4,"")</f>
        <v>0</v>
      </c>
      <c r="W8" s="121" t="str">
        <f>IF(W5&lt;&gt;"",V8-C4,"")</f>
        <v/>
      </c>
      <c r="X8" s="121" t="e">
        <f>IF(X5&lt;&gt;"",W8-C4,"")</f>
        <v>#VALUE!</v>
      </c>
      <c r="Y8" s="121" t="e">
        <f>IF(Y5&lt;&gt;"",X8-C4,"")</f>
        <v>#VALUE!</v>
      </c>
      <c r="Z8" s="121" t="e">
        <f>IF(Z5&lt;&gt;"",Y8-C4,"")</f>
        <v>#VALUE!</v>
      </c>
      <c r="AA8" s="121" t="e">
        <f>IF(AA5&lt;&gt;"",Z8-C4,"")</f>
        <v>#VALUE!</v>
      </c>
      <c r="AB8" s="121" t="e">
        <f>IF(AB5&lt;&gt;"",AA8-C4,"")</f>
        <v>#VALUE!</v>
      </c>
      <c r="AC8" s="121" t="e">
        <f>IF(AC5&lt;&gt;"",AB8-C4,"")</f>
        <v>#VALUE!</v>
      </c>
      <c r="AD8" s="121" t="e">
        <f>IF(AD5&lt;&gt;"",AC8-C4,"")</f>
        <v>#VALUE!</v>
      </c>
      <c r="AE8" s="122" t="e">
        <f>IF(AE5&lt;&gt;"",AD8-C4,"")</f>
        <v>#VALUE!</v>
      </c>
    </row>
    <row r="28" spans="1:13" ht="15.75" customHeight="1" x14ac:dyDescent="0.25">
      <c r="A28" s="123" t="s">
        <v>58</v>
      </c>
      <c r="B28" s="124"/>
      <c r="C28" s="124"/>
      <c r="D28" s="124"/>
      <c r="E28" s="124"/>
      <c r="F28" s="124"/>
      <c r="G28" s="124"/>
      <c r="H28" s="124"/>
      <c r="I28" s="124"/>
      <c r="J28" s="125"/>
      <c r="K28" s="126"/>
      <c r="L28" s="126"/>
      <c r="M28" s="127"/>
    </row>
  </sheetData>
  <conditionalFormatting sqref="C5:AE5">
    <cfRule type="notContainsBlanks" dxfId="1" priority="1">
      <formula>LEN(TRIM(C5))&gt;0</formula>
    </cfRule>
  </conditionalFormatting>
  <conditionalFormatting sqref="C6:AE6">
    <cfRule type="notContainsBlanks" dxfId="0" priority="2">
      <formula>LEN(TRIM(C6))&gt;0</formula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SollIst Zeiterfassung</vt:lpstr>
      <vt:lpstr>wöchentliche Zeitplanung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Keller, Delia</cp:lastModifiedBy>
  <dcterms:modified xsi:type="dcterms:W3CDTF">2026-04-20T18:47:16Z</dcterms:modified>
</cp:coreProperties>
</file>